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x" sheetId="1" r:id="rId4"/>
  </sheets>
  <definedNames/>
  <calcPr/>
  <extLst>
    <ext uri="GoogleSheetsCustomDataVersion2">
      <go:sheetsCustomData xmlns:go="http://customooxmlschemas.google.com/" r:id="rId5" roundtripDataChecksum="BinuwW56kS5QhCXc2pLzjp1Ei3Td3Y0AZ91ytH+WqpY="/>
    </ext>
  </extLst>
</workbook>
</file>

<file path=xl/sharedStrings.xml><?xml version="1.0" encoding="utf-8"?>
<sst xmlns="http://schemas.openxmlformats.org/spreadsheetml/2006/main" count="1213" uniqueCount="162">
  <si>
    <t>Jeff Nippard's Powerbuilding System - 4x/Week Spreadsheet</t>
  </si>
  <si>
    <t xml:space="preserve">Copyright 2022 by Jeff Nippard. All rights reserved. </t>
  </si>
  <si>
    <r>
      <rPr>
        <rFont val="Calibri"/>
        <b/>
        <color theme="0"/>
        <sz val="20.0"/>
      </rPr>
      <t>IMPORTANT:</t>
    </r>
    <r>
      <rPr>
        <rFont val="Calibri"/>
        <b val="0"/>
        <color theme="0"/>
        <sz val="20.0"/>
      </rPr>
      <t xml:space="preserve"> In the light green cell below, type "kg" if using kilograms or type "lbs" if using pounds (quotation marks not included)</t>
    </r>
  </si>
  <si>
    <t>kg</t>
  </si>
  <si>
    <r>
      <rPr>
        <rFont val="Calibri"/>
        <b/>
        <color rgb="FFFFFFFF"/>
        <sz val="20.0"/>
      </rPr>
      <t xml:space="preserve">IMPORTANT: </t>
    </r>
    <r>
      <rPr>
        <rFont val="Calibri"/>
        <color rgb="FFFFFFFF"/>
        <sz val="20.0"/>
      </rPr>
      <t xml:space="preserve">On the right, enter your CURRENT 1 rep max loads in the spaces below the given exercise (use the same units you specified above). </t>
    </r>
    <r>
      <rPr>
        <rFont val="Calibri"/>
        <i/>
        <color rgb="FFFFFFFF"/>
        <sz val="20.0"/>
      </rPr>
      <t>See pg. 16 of the Get Ready Manual if unsure of your 1RM.</t>
    </r>
  </si>
  <si>
    <t>Squat</t>
  </si>
  <si>
    <t>Bench</t>
  </si>
  <si>
    <t xml:space="preserve">Deadlift </t>
  </si>
  <si>
    <t>OHP</t>
  </si>
  <si>
    <t>265</t>
  </si>
  <si>
    <t>Week 1</t>
  </si>
  <si>
    <t>Exercise</t>
  </si>
  <si>
    <t>Warm-up Sets</t>
  </si>
  <si>
    <t>Working Sets</t>
  </si>
  <si>
    <t>Reps</t>
  </si>
  <si>
    <t>Load</t>
  </si>
  <si>
    <t>%1RM</t>
  </si>
  <si>
    <t>RPE</t>
  </si>
  <si>
    <t>Rest</t>
  </si>
  <si>
    <t>Notes</t>
  </si>
  <si>
    <t>FULL BODY 1:</t>
  </si>
  <si>
    <t>Back Squat (Top Single)</t>
  </si>
  <si>
    <t>85-87.5%</t>
  </si>
  <si>
    <t>~6-8</t>
  </si>
  <si>
    <t>3-5min</t>
  </si>
  <si>
    <t>Top set. Focus on technique and explosive power.</t>
  </si>
  <si>
    <t>Back Squat</t>
  </si>
  <si>
    <t>75-77.5%</t>
  </si>
  <si>
    <t>Sit back and down, keep your upper back tight to the bar</t>
  </si>
  <si>
    <t>Close Grip Bench Press</t>
  </si>
  <si>
    <t>N/A</t>
  </si>
  <si>
    <t>2-4min</t>
  </si>
  <si>
    <t>Shoulder width grip, tuck your elbows in closer to your sides</t>
  </si>
  <si>
    <t>Barbell RDL</t>
  </si>
  <si>
    <t>2-3min</t>
  </si>
  <si>
    <t>Emphasize the stretch in your hamstrings, prevent your lower back from rounding</t>
  </si>
  <si>
    <t>Chest-Supported Row</t>
  </si>
  <si>
    <t>1-2min</t>
  </si>
  <si>
    <t>Can use machine or brace against bench. Minimize cheating.</t>
  </si>
  <si>
    <t>Dumbbell Lateral Raise</t>
  </si>
  <si>
    <t>15-20</t>
  </si>
  <si>
    <t>Focus on contracting your delts to move the weight, don't let form get sloppy toward the end of the set!</t>
  </si>
  <si>
    <t>Hanging Leg Raise</t>
  </si>
  <si>
    <t>Knees to chest, controlled reps, straighten legs more to increase difficulty</t>
  </si>
  <si>
    <t>FULL BODY 2:</t>
  </si>
  <si>
    <t>Barbell Bench Press</t>
  </si>
  <si>
    <t>72.5%</t>
  </si>
  <si>
    <t>Set up a comfortable arch, quick pause on chest and explode up on each rep</t>
  </si>
  <si>
    <t>Anderson Squat</t>
  </si>
  <si>
    <t>This is a pin squat that starts and ends with the bar on the pins. At the bottom you're just above parallel. Get tight.</t>
  </si>
  <si>
    <t>Neutral Grip Pulldown</t>
  </si>
  <si>
    <t>Pull your elbows down against your sides</t>
  </si>
  <si>
    <t xml:space="preserve">Dumbbell Skull Crusher </t>
  </si>
  <si>
    <t>Arc the dummbells behind your head. Constant tension on triceps</t>
  </si>
  <si>
    <t>Barbell (or EZ-Bar) Strict Curl</t>
  </si>
  <si>
    <t>Lean against wall and maintain wall contact with head, hips and back. Keep elbows pinned at sides. Control the weight.</t>
  </si>
  <si>
    <t>Seated Face Pull</t>
  </si>
  <si>
    <t>Don't go too heavy, focus on mind-muscle connection</t>
  </si>
  <si>
    <t>REST DAY</t>
  </si>
  <si>
    <t>FULL BODY 3:</t>
  </si>
  <si>
    <t>Deadlift</t>
  </si>
  <si>
    <t>Brace your lats, chest tall, pull the slack out of the bar before lifting</t>
  </si>
  <si>
    <t>Pause Deadlift</t>
  </si>
  <si>
    <t>1 second pause right after plates leave the floor</t>
  </si>
  <si>
    <t>Barbell Overhead Press</t>
  </si>
  <si>
    <t>Band Pull-Apart</t>
  </si>
  <si>
    <t>Mind-muscle connection with rear delts</t>
  </si>
  <si>
    <t>Cable Pullover</t>
  </si>
  <si>
    <t>7</t>
  </si>
  <si>
    <t>Use bands if no cables. Keep constant tension on the lats. Big stretch at the top by leaning slightly forward.</t>
  </si>
  <si>
    <t>Hammer Curl</t>
  </si>
  <si>
    <t>Keep elbows locked in place, squeeze the dumbbell handle hard!</t>
  </si>
  <si>
    <t>Standing Calf Raise</t>
  </si>
  <si>
    <t>10</t>
  </si>
  <si>
    <t>Push these all very hard. Go to true failure.</t>
  </si>
  <si>
    <t>FULL BODY 4:</t>
  </si>
  <si>
    <t>70%</t>
  </si>
  <si>
    <t>Strict Bench Press</t>
  </si>
  <si>
    <t>87.5-90%</t>
  </si>
  <si>
    <t>~7-8</t>
  </si>
  <si>
    <t xml:space="preserve">Strict 1 second pause on chest. Execute the set up and rep as perfectly as possible. Don't overhype. Focus. </t>
  </si>
  <si>
    <t>Helms Row</t>
  </si>
  <si>
    <t>Be mindful of lower back fatgiue, stay light and minimize cheating</t>
  </si>
  <si>
    <t>Seated Leg Curl</t>
  </si>
  <si>
    <t>Focus on squeezing your hamstrings to move the weight</t>
  </si>
  <si>
    <t>Hip Abduction</t>
  </si>
  <si>
    <t>Machine, band or weighted, squeeze and hold for 1 second at the top of each rep</t>
  </si>
  <si>
    <t>2 REST DAYS</t>
  </si>
  <si>
    <t>Week 2</t>
  </si>
  <si>
    <t>Barbell Pin Bench Press</t>
  </si>
  <si>
    <t>70-75%</t>
  </si>
  <si>
    <t>Set the pins just above chest height, release tension while the bar is on the pins, then explode up. Control the weight.</t>
  </si>
  <si>
    <t>75%</t>
  </si>
  <si>
    <t>Barbell Box Squat</t>
  </si>
  <si>
    <t>Sit fully back on to the box, release tension in thighs, minimize rocking while seated</t>
  </si>
  <si>
    <t>Touch-And-Go Deadlift</t>
  </si>
  <si>
    <t>65-70%</t>
  </si>
  <si>
    <t>Don't bounce the plates off the floor, just a light tap. Allow some momentum and get in a good groove. Breathe/brace at the top.</t>
  </si>
  <si>
    <t>Strict 1 second pause on chest. Execute the set up and rep as perfectly as possible. Don't overhype. Focus.</t>
  </si>
  <si>
    <t>82.5-85%</t>
  </si>
  <si>
    <t>Week 3</t>
  </si>
  <si>
    <t>~7-9</t>
  </si>
  <si>
    <t>77.5-80%</t>
  </si>
  <si>
    <t>77.5%</t>
  </si>
  <si>
    <t>90-92.5%</t>
  </si>
  <si>
    <t>Week 4</t>
  </si>
  <si>
    <t>80%</t>
  </si>
  <si>
    <t>92.5-95%</t>
  </si>
  <si>
    <t>65-75%</t>
  </si>
  <si>
    <t>90-95%</t>
  </si>
  <si>
    <t>85-90%</t>
  </si>
  <si>
    <t>Semi-deload Week - Avoid failure and train lighter this week to promote recovery and to prepare for the next 5 weeks!</t>
  </si>
  <si>
    <t>Week 5: Semi-Deload</t>
  </si>
  <si>
    <t>~5-7</t>
  </si>
  <si>
    <t>9</t>
  </si>
  <si>
    <t>Week 6</t>
  </si>
  <si>
    <t>80-85%</t>
  </si>
  <si>
    <t>70-80%</t>
  </si>
  <si>
    <t>Week 7</t>
  </si>
  <si>
    <t>~8-9</t>
  </si>
  <si>
    <t>82.5-87.5%</t>
  </si>
  <si>
    <t>~9</t>
  </si>
  <si>
    <t>92.5-97.5%</t>
  </si>
  <si>
    <t>Week 8</t>
  </si>
  <si>
    <t>82.5%</t>
  </si>
  <si>
    <t>95-97.5%</t>
  </si>
  <si>
    <t>TAPER WEEK - LOCK IN TECHNIQUE AND PRIORITIZE RECOVERY WITH LOWER VOLUME</t>
  </si>
  <si>
    <t>Week 9: Taper Week</t>
  </si>
  <si>
    <t>1</t>
  </si>
  <si>
    <t>Try to move the bar as explosively as possible on the positive. Approach with confidence. Technique locked. Don't overhype.</t>
  </si>
  <si>
    <t>4</t>
  </si>
  <si>
    <t>Make every rep look exactly the same. 1 second pause on each rep.</t>
  </si>
  <si>
    <t>Reset Deadlift</t>
  </si>
  <si>
    <t>3</t>
  </si>
  <si>
    <t>Stand up and set up again in between each rep. Think of each set as 3 separate singles.</t>
  </si>
  <si>
    <t>6-8</t>
  </si>
  <si>
    <t>8</t>
  </si>
  <si>
    <t>These are intentionally light for shoulder stability and balance. Don't push these hard. Big bench day tomorrow.</t>
  </si>
  <si>
    <t>5</t>
  </si>
  <si>
    <t>12-15</t>
  </si>
  <si>
    <t xml:space="preserve">IMPORTANT NOTES ABOUT WEEK 10 </t>
  </si>
  <si>
    <t xml:space="preserve">If you are not feeling well recovered after completing week 9 (achy joints, poor sleep, low energy) take an extra rest day or two before running Week 10.
-        Always use a good spotter when attempting max effort lifts
-        Always use safety bars on squat and bench press (in case you have to dump the bar)
-        Do not test maxes if you are feeling joint pain
-        Do not test maxes if you do not feel properly recovered
-        Do not test maxes if you do not have a good spotter
-        Maxes should be done at a 9.5-10 RPE: It is not necessary to push to the point where you actually fail. I recommend stopping at the point where you don’t think you could get another rep with good form.
What week to run?
-        Run Week 10A only if you have competitive powerlifting goals
-        Run Week 10B if you have mostly bodybuilding and general strength goals
</t>
  </si>
  <si>
    <t>MAX TESTING OPTION A: Important! Choose either Week 10A or Week 10B. Do not run both weeks. See above for suggestions on which week to run.</t>
  </si>
  <si>
    <t>Week 10A: Max Testing</t>
  </si>
  <si>
    <t>SQUAT TEST:</t>
  </si>
  <si>
    <t>1+</t>
  </si>
  <si>
    <t>100-105%</t>
  </si>
  <si>
    <t>9.5-10</t>
  </si>
  <si>
    <t>4-6min</t>
  </si>
  <si>
    <t>Aim for a new PR. Start with 100% and increase by ~2.5% every attempt until you hit a 9.5-10 RPE. Use a spotter and good form!</t>
  </si>
  <si>
    <t>Leg Curl</t>
  </si>
  <si>
    <t>Can be seated or lying. Focus on squeezing your hamstrings to move the weight</t>
  </si>
  <si>
    <t>BENCH TEST:</t>
  </si>
  <si>
    <t>Press up and back overhead, slight pause on the chest on each rep</t>
  </si>
  <si>
    <t>DEADLIFT TEST:</t>
  </si>
  <si>
    <t>10-12</t>
  </si>
  <si>
    <t>Dumbbell Skull Crusher</t>
  </si>
  <si>
    <t>MAX TESTING OPTION B: Important! Choose either Week 10A or Week 10B. Do not run both weeks. See above for suggestions on which week to run.</t>
  </si>
  <si>
    <t>Week 10B: AMRAP Testing</t>
  </si>
  <si>
    <t>AMRAP</t>
  </si>
  <si>
    <t>As many reps as possible. Always use a spotter and good form. Aim to hit 3-5 reps</t>
  </si>
  <si>
    <t>Focus on contracting your delts to move the 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</si>
</sst>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"/>
    <numFmt numFmtId="165" formatCode="0.0%"/>
  </numFmts>
  <fonts count="20">
    <font>
      <sz val="10.0"/>
      <color rgb="FF000000"/>
      <name val="Arial"/>
      <scheme val="minor"/>
    </font>
    <font>
      <sz val="10.0"/>
      <color theme="1"/>
      <name val="Arial"/>
    </font>
    <font>
      <b/>
      <sz val="26.0"/>
      <color theme="0"/>
      <name val="Calibri"/>
    </font>
    <font/>
    <font>
      <b/>
      <sz val="10.0"/>
      <color rgb="FF000000"/>
      <name val="Calibri"/>
    </font>
    <font>
      <sz val="10.0"/>
      <color rgb="FF000000"/>
      <name val="Calibri"/>
    </font>
    <font>
      <sz val="20.0"/>
      <color rgb="FF000000"/>
      <name val="Calibri"/>
    </font>
    <font>
      <sz val="14.0"/>
      <color rgb="FF3F3F3F"/>
      <name val="Calibri"/>
    </font>
    <font>
      <b/>
      <sz val="20.0"/>
      <color theme="0"/>
      <name val="Calibri"/>
    </font>
    <font>
      <b/>
      <sz val="28.0"/>
      <color theme="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20.0"/>
      <color rgb="FFFFFFFF"/>
      <name val="Calibri"/>
    </font>
    <font>
      <sz val="20.0"/>
      <color theme="1"/>
      <name val="Calibri"/>
    </font>
    <font>
      <b/>
      <sz val="17.0"/>
      <color rgb="FFFFFFFF"/>
      <name val="Calibri"/>
    </font>
    <font>
      <b/>
      <sz val="16.0"/>
      <color rgb="FFFFFFFF"/>
      <name val="Calibri"/>
    </font>
    <font>
      <b/>
      <sz val="20.0"/>
      <color rgb="FFFFFFFF"/>
      <name val="Calibri"/>
    </font>
    <font>
      <b/>
      <sz val="20.0"/>
      <color rgb="FF657F07"/>
      <name val="Calibri"/>
    </font>
    <font>
      <b/>
      <sz val="20.0"/>
      <color rgb="FF000000"/>
      <name val="Calibri"/>
    </font>
    <font>
      <b/>
      <sz val="20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657F07"/>
        <bgColor rgb="FF657F07"/>
      </patternFill>
    </fill>
    <fill>
      <patternFill patternType="solid">
        <fgColor rgb="FFC6C5AA"/>
        <bgColor rgb="FFC6C5A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7BD0B"/>
        <bgColor rgb="FF97BD0B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2E1F2"/>
        <bgColor rgb="FFD2E1F2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0C5"/>
        <bgColor rgb="FFFFF0C5"/>
      </patternFill>
    </fill>
  </fills>
  <borders count="4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932925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/>
      <top/>
    </border>
    <border>
      <left style="thin">
        <color rgb="FF000000"/>
      </left>
      <right/>
      <bottom/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 vertical="top"/>
    </xf>
    <xf borderId="4" fillId="2" fontId="8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9" numFmtId="0" xfId="0" applyAlignment="1" applyBorder="1" applyFill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3" fontId="8" numFmtId="0" xfId="0" applyAlignment="1" applyBorder="1" applyFont="1">
      <alignment horizontal="center" vertical="center"/>
    </xf>
    <xf borderId="12" fillId="3" fontId="8" numFmtId="49" xfId="0" applyAlignment="1" applyBorder="1" applyFont="1" applyNumberForma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4" fontId="6" numFmtId="0" xfId="0" applyAlignment="1" applyBorder="1" applyFill="1" applyFont="1">
      <alignment horizontal="center" readingOrder="0" vertical="center"/>
    </xf>
    <xf borderId="15" fillId="4" fontId="6" numFmtId="49" xfId="0" applyAlignment="1" applyBorder="1" applyFont="1" applyNumberFormat="1">
      <alignment horizontal="center" readingOrder="0" vertical="center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16" fillId="2" fontId="14" numFmtId="0" xfId="0" applyAlignment="1" applyBorder="1" applyFont="1">
      <alignment horizontal="center" shrinkToFit="0" vertical="center" wrapText="1"/>
    </xf>
    <xf borderId="16" fillId="2" fontId="15" numFmtId="0" xfId="0" applyAlignment="1" applyBorder="1" applyFont="1">
      <alignment horizontal="center" shrinkToFit="0" vertical="center" wrapText="1"/>
    </xf>
    <xf borderId="16" fillId="2" fontId="15" numFmtId="49" xfId="0" applyAlignment="1" applyBorder="1" applyFont="1" applyNumberFormat="1">
      <alignment horizontal="center" shrinkToFit="0" vertical="center" wrapText="1"/>
    </xf>
    <xf borderId="17" fillId="2" fontId="15" numFmtId="0" xfId="0" applyAlignment="1" applyBorder="1" applyFont="1">
      <alignment horizontal="center" shrinkToFit="0" vertical="center" wrapText="1"/>
    </xf>
    <xf borderId="18" fillId="3" fontId="16" numFmtId="0" xfId="0" applyAlignment="1" applyBorder="1" applyFont="1">
      <alignment horizontal="center" shrinkToFit="0" vertical="center" wrapText="1"/>
    </xf>
    <xf borderId="19" fillId="6" fontId="6" numFmtId="0" xfId="0" applyAlignment="1" applyBorder="1" applyFill="1" applyFont="1">
      <alignment horizontal="center" shrinkToFit="0" vertical="center" wrapText="1"/>
    </xf>
    <xf borderId="19" fillId="6" fontId="6" numFmtId="1" xfId="0" applyAlignment="1" applyBorder="1" applyFont="1" applyNumberFormat="1">
      <alignment horizontal="center" shrinkToFit="0" vertical="center" wrapText="1"/>
    </xf>
    <xf borderId="19" fillId="6" fontId="6" numFmtId="49" xfId="0" applyAlignment="1" applyBorder="1" applyFont="1" applyNumberFormat="1">
      <alignment horizontal="center" shrinkToFit="0" vertical="center" wrapText="1"/>
    </xf>
    <xf borderId="20" fillId="0" fontId="3" numFmtId="0" xfId="0" applyBorder="1" applyFont="1"/>
    <xf borderId="19" fillId="4" fontId="6" numFmtId="0" xfId="0" applyAlignment="1" applyBorder="1" applyFont="1">
      <alignment horizontal="center" shrinkToFit="0" vertical="center" wrapText="1"/>
    </xf>
    <xf borderId="19" fillId="4" fontId="6" numFmtId="1" xfId="0" applyAlignment="1" applyBorder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center" wrapText="1"/>
    </xf>
    <xf borderId="19" fillId="4" fontId="6" numFmtId="164" xfId="0" applyAlignment="1" applyBorder="1" applyFont="1" applyNumberFormat="1">
      <alignment horizontal="center" shrinkToFit="0" vertical="center" wrapText="1"/>
    </xf>
    <xf borderId="19" fillId="4" fontId="6" numFmtId="49" xfId="0" applyAlignment="1" applyBorder="1" applyFont="1" applyNumberFormat="1">
      <alignment horizontal="center" shrinkToFit="0" vertical="center" wrapText="1"/>
    </xf>
    <xf borderId="21" fillId="7" fontId="6" numFmtId="0" xfId="0" applyAlignment="1" applyBorder="1" applyFill="1" applyFont="1">
      <alignment horizontal="center" shrinkToFit="0" vertical="center" wrapText="1"/>
    </xf>
    <xf borderId="19" fillId="7" fontId="6" numFmtId="1" xfId="0" applyAlignment="1" applyBorder="1" applyFont="1" applyNumberFormat="1">
      <alignment horizontal="center" shrinkToFit="0" vertical="center" wrapText="1"/>
    </xf>
    <xf borderId="19" fillId="7" fontId="6" numFmtId="0" xfId="0" applyAlignment="1" applyBorder="1" applyFont="1">
      <alignment horizontal="center" shrinkToFit="0" vertical="center" wrapText="1"/>
    </xf>
    <xf borderId="19" fillId="7" fontId="13" numFmtId="0" xfId="0" applyAlignment="1" applyBorder="1" applyFont="1">
      <alignment horizontal="center" shrinkToFit="0" vertical="center" wrapText="1"/>
    </xf>
    <xf borderId="19" fillId="7" fontId="6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19" fillId="7" fontId="6" numFmtId="164" xfId="0" applyAlignment="1" applyBorder="1" applyFont="1" applyNumberFormat="1">
      <alignment horizontal="center" shrinkToFit="0" vertical="center" wrapText="1"/>
    </xf>
    <xf borderId="22" fillId="0" fontId="3" numFmtId="0" xfId="0" applyBorder="1" applyFont="1"/>
    <xf borderId="23" fillId="5" fontId="6" numFmtId="0" xfId="0" applyAlignment="1" applyBorder="1" applyFont="1">
      <alignment horizontal="center" shrinkToFit="0" vertical="center" wrapText="1"/>
    </xf>
    <xf borderId="24" fillId="5" fontId="6" numFmtId="0" xfId="0" applyAlignment="1" applyBorder="1" applyFont="1">
      <alignment horizontal="center" shrinkToFit="0" vertical="center" wrapText="1"/>
    </xf>
    <xf borderId="24" fillId="5" fontId="13" numFmtId="0" xfId="0" applyAlignment="1" applyBorder="1" applyFont="1">
      <alignment horizontal="center" shrinkToFit="0" vertical="center" wrapText="1"/>
    </xf>
    <xf borderId="24" fillId="5" fontId="6" numFmtId="1" xfId="0" applyAlignment="1" applyBorder="1" applyFont="1" applyNumberFormat="1">
      <alignment horizontal="center" shrinkToFit="0" vertical="center" wrapText="1"/>
    </xf>
    <xf borderId="24" fillId="5" fontId="6" numFmtId="49" xfId="0" applyAlignment="1" applyBorder="1" applyFont="1" applyNumberFormat="1">
      <alignment horizontal="center" shrinkToFit="0" vertical="center" wrapText="1"/>
    </xf>
    <xf borderId="24" fillId="7" fontId="6" numFmtId="0" xfId="0" applyAlignment="1" applyBorder="1" applyFont="1">
      <alignment horizontal="center" shrinkToFit="0" vertical="center" wrapText="1"/>
    </xf>
    <xf borderId="25" fillId="3" fontId="16" numFmtId="0" xfId="0" applyAlignment="1" applyBorder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19" fillId="7" fontId="13" numFmtId="1" xfId="0" applyAlignment="1" applyBorder="1" applyFont="1" applyNumberFormat="1">
      <alignment horizontal="center" shrinkToFit="0" vertical="center" wrapText="1"/>
    </xf>
    <xf borderId="19" fillId="5" fontId="6" numFmtId="0" xfId="0" applyAlignment="1" applyBorder="1" applyFont="1">
      <alignment horizontal="center" shrinkToFit="0" vertical="center" wrapText="1"/>
    </xf>
    <xf borderId="26" fillId="4" fontId="17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0" fontId="3" numFmtId="0" xfId="0" applyBorder="1" applyFont="1"/>
    <xf borderId="29" fillId="6" fontId="6" numFmtId="0" xfId="0" applyAlignment="1" applyBorder="1" applyFont="1">
      <alignment horizontal="center" shrinkToFit="0" vertical="center" wrapText="1"/>
    </xf>
    <xf borderId="30" fillId="6" fontId="6" numFmtId="0" xfId="0" applyAlignment="1" applyBorder="1" applyFont="1">
      <alignment horizontal="center" shrinkToFit="0" vertical="center" wrapText="1"/>
    </xf>
    <xf borderId="30" fillId="6" fontId="6" numFmtId="9" xfId="0" applyAlignment="1" applyBorder="1" applyFont="1" applyNumberFormat="1">
      <alignment horizontal="center" shrinkToFit="0" vertical="center" wrapText="1"/>
    </xf>
    <xf borderId="30" fillId="6" fontId="6" numFmtId="164" xfId="0" applyAlignment="1" applyBorder="1" applyFont="1" applyNumberFormat="1">
      <alignment horizontal="center" shrinkToFit="0" vertical="center" wrapText="1"/>
    </xf>
    <xf borderId="30" fillId="6" fontId="6" numFmtId="49" xfId="0" applyAlignment="1" applyBorder="1" applyFont="1" applyNumberFormat="1">
      <alignment horizontal="center" shrinkToFit="0" vertical="center" wrapText="1"/>
    </xf>
    <xf borderId="21" fillId="5" fontId="6" numFmtId="0" xfId="0" applyAlignment="1" applyBorder="1" applyFont="1">
      <alignment horizontal="center" shrinkToFit="0" vertical="center" wrapText="1"/>
    </xf>
    <xf borderId="19" fillId="5" fontId="6" numFmtId="1" xfId="0" applyAlignment="1" applyBorder="1" applyFont="1" applyNumberFormat="1">
      <alignment horizontal="center" shrinkToFit="0" vertical="center" wrapText="1"/>
    </xf>
    <xf borderId="19" fillId="5" fontId="6" numFmtId="165" xfId="0" applyAlignment="1" applyBorder="1" applyFont="1" applyNumberFormat="1">
      <alignment horizontal="center" shrinkToFit="0" vertical="center" wrapText="1"/>
    </xf>
    <xf borderId="19" fillId="5" fontId="6" numFmtId="49" xfId="0" applyAlignment="1" applyBorder="1" applyFont="1" applyNumberFormat="1">
      <alignment horizontal="center" shrinkToFit="0" vertical="center" wrapText="1"/>
    </xf>
    <xf borderId="19" fillId="8" fontId="6" numFmtId="0" xfId="0" applyAlignment="1" applyBorder="1" applyFill="1" applyFont="1">
      <alignment horizontal="center" shrinkToFit="0" vertical="center" wrapText="1"/>
    </xf>
    <xf borderId="19" fillId="8" fontId="6" numFmtId="1" xfId="0" applyAlignment="1" applyBorder="1" applyFont="1" applyNumberFormat="1">
      <alignment horizontal="center" shrinkToFit="0" vertical="center" wrapText="1"/>
    </xf>
    <xf borderId="19" fillId="9" fontId="6" numFmtId="9" xfId="0" applyAlignment="1" applyBorder="1" applyFill="1" applyFont="1" applyNumberFormat="1">
      <alignment horizontal="center" shrinkToFit="0" vertical="center" wrapText="1"/>
    </xf>
    <xf borderId="19" fillId="8" fontId="6" numFmtId="49" xfId="0" applyAlignment="1" applyBorder="1" applyFont="1" applyNumberFormat="1">
      <alignment horizontal="center" shrinkToFit="0" vertical="center" wrapText="1"/>
    </xf>
    <xf borderId="19" fillId="5" fontId="13" numFmtId="0" xfId="0" applyAlignment="1" applyBorder="1" applyFont="1">
      <alignment horizontal="center" shrinkToFit="0" vertical="center" wrapText="1"/>
    </xf>
    <xf borderId="19" fillId="5" fontId="6" numFmtId="164" xfId="0" applyAlignment="1" applyBorder="1" applyFont="1" applyNumberFormat="1">
      <alignment horizontal="center" shrinkToFit="0" vertical="center" wrapText="1"/>
    </xf>
    <xf borderId="23" fillId="7" fontId="6" numFmtId="0" xfId="0" applyAlignment="1" applyBorder="1" applyFont="1">
      <alignment horizontal="center" shrinkToFit="0" vertical="center" wrapText="1"/>
    </xf>
    <xf borderId="24" fillId="7" fontId="6" numFmtId="1" xfId="0" applyAlignment="1" applyBorder="1" applyFont="1" applyNumberFormat="1">
      <alignment horizontal="center" shrinkToFit="0" vertical="center" wrapText="1"/>
    </xf>
    <xf borderId="24" fillId="7" fontId="6" numFmtId="164" xfId="0" applyAlignment="1" applyBorder="1" applyFont="1" applyNumberFormat="1">
      <alignment horizontal="center" shrinkToFit="0" vertical="center" wrapText="1"/>
    </xf>
    <xf borderId="24" fillId="7" fontId="6" numFmtId="49" xfId="0" applyAlignment="1" applyBorder="1" applyFont="1" applyNumberFormat="1">
      <alignment horizontal="center" shrinkToFit="0" vertical="center" wrapText="1"/>
    </xf>
    <xf borderId="19" fillId="7" fontId="6" numFmtId="0" xfId="0" applyAlignment="1" applyBorder="1" applyFont="1">
      <alignment horizontal="center" shrinkToFit="0" vertical="center" wrapText="1"/>
    </xf>
    <xf borderId="19" fillId="7" fontId="6" numFmtId="49" xfId="0" applyAlignment="1" applyBorder="1" applyFont="1" applyNumberFormat="1">
      <alignment horizontal="center" shrinkToFit="0" vertical="center" wrapText="1"/>
    </xf>
    <xf borderId="19" fillId="7" fontId="6" numFmtId="164" xfId="0" applyAlignment="1" applyBorder="1" applyFont="1" applyNumberFormat="1">
      <alignment horizontal="center" shrinkToFit="0" vertical="center" wrapText="1"/>
    </xf>
    <xf borderId="19" fillId="6" fontId="6" numFmtId="0" xfId="0" applyAlignment="1" applyBorder="1" applyFont="1">
      <alignment horizontal="center" shrinkToFit="0" vertical="center" wrapText="1"/>
    </xf>
    <xf borderId="19" fillId="6" fontId="6" numFmtId="1" xfId="0" applyAlignment="1" applyBorder="1" applyFont="1" applyNumberFormat="1">
      <alignment horizontal="center" shrinkToFit="0" vertical="center" wrapText="1"/>
    </xf>
    <xf borderId="19" fillId="6" fontId="6" numFmtId="49" xfId="0" applyAlignment="1" applyBorder="1" applyFont="1" applyNumberFormat="1">
      <alignment horizontal="center" shrinkToFit="0" vertical="center" wrapText="1"/>
    </xf>
    <xf borderId="21" fillId="7" fontId="6" numFmtId="0" xfId="0" applyAlignment="1" applyBorder="1" applyFont="1">
      <alignment horizontal="center" shrinkToFit="0" vertical="center" wrapText="1"/>
    </xf>
    <xf borderId="19" fillId="7" fontId="6" numFmtId="165" xfId="0" applyAlignment="1" applyBorder="1" applyFont="1" applyNumberFormat="1">
      <alignment horizontal="center" shrinkToFit="0" vertical="center" wrapText="1"/>
    </xf>
    <xf borderId="19" fillId="5" fontId="6" numFmtId="0" xfId="0" applyAlignment="1" applyBorder="1" applyFont="1">
      <alignment horizontal="center" shrinkToFit="0" vertical="center" wrapText="1"/>
    </xf>
    <xf borderId="19" fillId="5" fontId="6" numFmtId="164" xfId="0" applyAlignment="1" applyBorder="1" applyFont="1" applyNumberFormat="1">
      <alignment horizontal="center" shrinkToFit="0" vertical="center" wrapText="1"/>
    </xf>
    <xf borderId="19" fillId="5" fontId="6" numFmtId="49" xfId="0" applyAlignment="1" applyBorder="1" applyFont="1" applyNumberFormat="1">
      <alignment horizontal="center" shrinkToFit="0" vertical="center" wrapText="1"/>
    </xf>
    <xf borderId="19" fillId="7" fontId="6" numFmtId="1" xfId="0" applyAlignment="1" applyBorder="1" applyFont="1" applyNumberFormat="1">
      <alignment horizontal="center" shrinkToFit="0" vertical="center" wrapText="1"/>
    </xf>
    <xf borderId="24" fillId="5" fontId="6" numFmtId="0" xfId="0" applyAlignment="1" applyBorder="1" applyFont="1">
      <alignment horizontal="center" shrinkToFit="0" vertical="center" wrapText="1"/>
    </xf>
    <xf borderId="24" fillId="5" fontId="6" numFmtId="164" xfId="0" applyAlignment="1" applyBorder="1" applyFont="1" applyNumberFormat="1">
      <alignment horizontal="center" shrinkToFit="0" vertical="center" wrapText="1"/>
    </xf>
    <xf borderId="24" fillId="5" fontId="6" numFmtId="49" xfId="0" applyAlignment="1" applyBorder="1" applyFont="1" applyNumberFormat="1">
      <alignment horizontal="center" shrinkToFit="0" vertical="center" wrapText="1"/>
    </xf>
    <xf borderId="19" fillId="5" fontId="6" numFmtId="1" xfId="0" applyAlignment="1" applyBorder="1" applyFont="1" applyNumberFormat="1">
      <alignment horizontal="center" shrinkToFit="0" vertical="center" wrapText="1"/>
    </xf>
    <xf borderId="19" fillId="7" fontId="13" numFmtId="0" xfId="0" applyAlignment="1" applyBorder="1" applyFont="1">
      <alignment horizontal="center" shrinkToFit="0" vertical="center" wrapText="1"/>
    </xf>
    <xf borderId="21" fillId="5" fontId="6" numFmtId="0" xfId="0" applyAlignment="1" applyBorder="1" applyFont="1">
      <alignment horizontal="center" shrinkToFit="0" vertical="center" wrapText="1"/>
    </xf>
    <xf borderId="23" fillId="7" fontId="6" numFmtId="0" xfId="0" applyAlignment="1" applyBorder="1" applyFont="1">
      <alignment horizontal="center" shrinkToFit="0" vertical="center" wrapText="1"/>
    </xf>
    <xf borderId="24" fillId="7" fontId="6" numFmtId="0" xfId="0" applyAlignment="1" applyBorder="1" applyFont="1">
      <alignment horizontal="center" shrinkToFit="0" vertical="center" wrapText="1"/>
    </xf>
    <xf borderId="24" fillId="7" fontId="13" numFmtId="0" xfId="0" applyAlignment="1" applyBorder="1" applyFont="1">
      <alignment horizontal="center" shrinkToFit="0" vertical="center" wrapText="1"/>
    </xf>
    <xf borderId="24" fillId="7" fontId="6" numFmtId="1" xfId="0" applyAlignment="1" applyBorder="1" applyFont="1" applyNumberFormat="1">
      <alignment horizontal="center" shrinkToFit="0" vertical="center" wrapText="1"/>
    </xf>
    <xf borderId="24" fillId="7" fontId="6" numFmtId="49" xfId="0" applyAlignment="1" applyBorder="1" applyFont="1" applyNumberFormat="1">
      <alignment horizontal="center" shrinkToFit="0" vertical="center" wrapText="1"/>
    </xf>
    <xf borderId="19" fillId="5" fontId="13" numFmtId="1" xfId="0" applyAlignment="1" applyBorder="1" applyFont="1" applyNumberFormat="1">
      <alignment horizontal="center" shrinkToFit="0" vertical="center" wrapText="1"/>
    </xf>
    <xf borderId="29" fillId="6" fontId="6" numFmtId="0" xfId="0" applyAlignment="1" applyBorder="1" applyFont="1">
      <alignment horizontal="center" shrinkToFit="0" vertical="center" wrapText="1"/>
    </xf>
    <xf borderId="30" fillId="6" fontId="6" numFmtId="0" xfId="0" applyAlignment="1" applyBorder="1" applyFont="1">
      <alignment horizontal="center" shrinkToFit="0" vertical="center" wrapText="1"/>
    </xf>
    <xf borderId="30" fillId="6" fontId="6" numFmtId="9" xfId="0" applyAlignment="1" applyBorder="1" applyFont="1" applyNumberFormat="1">
      <alignment horizontal="center" shrinkToFit="0" vertical="center" wrapText="1"/>
    </xf>
    <xf borderId="30" fillId="6" fontId="6" numFmtId="164" xfId="0" applyAlignment="1" applyBorder="1" applyFont="1" applyNumberFormat="1">
      <alignment horizontal="center" shrinkToFit="0" vertical="center" wrapText="1"/>
    </xf>
    <xf borderId="30" fillId="6" fontId="6" numFmtId="49" xfId="0" applyAlignment="1" applyBorder="1" applyFont="1" applyNumberFormat="1">
      <alignment horizontal="center" shrinkToFit="0" vertical="center" wrapText="1"/>
    </xf>
    <xf borderId="19" fillId="7" fontId="6" numFmtId="9" xfId="0" applyAlignment="1" applyBorder="1" applyFont="1" applyNumberFormat="1">
      <alignment horizontal="center" shrinkToFit="0" vertical="center" wrapText="1"/>
    </xf>
    <xf borderId="19" fillId="5" fontId="13" numFmtId="0" xfId="0" applyAlignment="1" applyBorder="1" applyFont="1">
      <alignment horizontal="center" shrinkToFit="0" vertical="center" wrapText="1"/>
    </xf>
    <xf borderId="24" fillId="7" fontId="6" numFmtId="164" xfId="0" applyAlignment="1" applyBorder="1" applyFont="1" applyNumberFormat="1">
      <alignment horizontal="center" shrinkToFit="0" vertical="center" wrapText="1"/>
    </xf>
    <xf borderId="31" fillId="2" fontId="15" numFmtId="0" xfId="0" applyAlignment="1" applyBorder="1" applyFont="1">
      <alignment horizontal="center" shrinkToFit="0" vertical="center" wrapText="1"/>
    </xf>
    <xf borderId="31" fillId="2" fontId="15" numFmtId="49" xfId="0" applyAlignment="1" applyBorder="1" applyFont="1" applyNumberFormat="1">
      <alignment horizontal="center" shrinkToFit="0" vertical="center" wrapText="1"/>
    </xf>
    <xf borderId="32" fillId="2" fontId="15" numFmtId="0" xfId="0" applyAlignment="1" applyBorder="1" applyFont="1">
      <alignment horizontal="center" shrinkToFit="0" vertical="center" wrapText="1"/>
    </xf>
    <xf borderId="19" fillId="6" fontId="13" numFmtId="0" xfId="0" applyAlignment="1" applyBorder="1" applyFont="1">
      <alignment horizontal="center" shrinkToFit="0" vertical="center" wrapText="1"/>
    </xf>
    <xf borderId="19" fillId="6" fontId="13" numFmtId="1" xfId="0" applyAlignment="1" applyBorder="1" applyFont="1" applyNumberFormat="1">
      <alignment horizontal="center" shrinkToFit="0" vertical="center" wrapText="1"/>
    </xf>
    <xf borderId="19" fillId="6" fontId="13" numFmtId="49" xfId="0" applyAlignment="1" applyBorder="1" applyFont="1" applyNumberFormat="1">
      <alignment horizontal="center" shrinkToFit="0" vertical="center" wrapText="1"/>
    </xf>
    <xf borderId="19" fillId="7" fontId="13" numFmtId="1" xfId="0" applyAlignment="1" applyBorder="1" applyFont="1" applyNumberFormat="1">
      <alignment horizontal="center" shrinkToFit="0" vertical="center" wrapText="1"/>
    </xf>
    <xf borderId="19" fillId="7" fontId="13" numFmtId="164" xfId="0" applyAlignment="1" applyBorder="1" applyFont="1" applyNumberFormat="1">
      <alignment horizontal="center" shrinkToFit="0" vertical="center" wrapText="1"/>
    </xf>
    <xf borderId="19" fillId="7" fontId="13" numFmtId="49" xfId="0" applyAlignment="1" applyBorder="1" applyFont="1" applyNumberFormat="1">
      <alignment horizontal="center" shrinkToFit="0" vertical="center" wrapText="1"/>
    </xf>
    <xf borderId="19" fillId="5" fontId="13" numFmtId="49" xfId="0" applyAlignment="1" applyBorder="1" applyFont="1" applyNumberFormat="1">
      <alignment horizontal="center" shrinkToFit="0" vertical="center" wrapText="1"/>
    </xf>
    <xf borderId="19" fillId="5" fontId="13" numFmtId="164" xfId="0" applyAlignment="1" applyBorder="1" applyFont="1" applyNumberFormat="1">
      <alignment horizontal="center" shrinkToFit="0" vertical="center" wrapText="1"/>
    </xf>
    <xf borderId="24" fillId="5" fontId="13" numFmtId="0" xfId="0" applyAlignment="1" applyBorder="1" applyFont="1">
      <alignment horizontal="center" shrinkToFit="0" vertical="center" wrapText="1"/>
    </xf>
    <xf borderId="24" fillId="5" fontId="13" numFmtId="1" xfId="0" applyAlignment="1" applyBorder="1" applyFont="1" applyNumberFormat="1">
      <alignment horizontal="center" shrinkToFit="0" vertical="center" wrapText="1"/>
    </xf>
    <xf borderId="24" fillId="5" fontId="13" numFmtId="49" xfId="0" applyAlignment="1" applyBorder="1" applyFont="1" applyNumberFormat="1">
      <alignment horizontal="center" shrinkToFit="0" vertical="center" wrapText="1"/>
    </xf>
    <xf borderId="7" fillId="5" fontId="17" numFmtId="0" xfId="0" applyAlignment="1" applyBorder="1" applyFont="1">
      <alignment horizontal="center" shrinkToFit="0" vertical="center" wrapText="1"/>
    </xf>
    <xf borderId="19" fillId="6" fontId="13" numFmtId="164" xfId="0" applyAlignment="1" applyBorder="1" applyFont="1" applyNumberFormat="1">
      <alignment horizontal="center" shrinkToFit="0" vertical="center" wrapText="1"/>
    </xf>
    <xf borderId="19" fillId="6" fontId="13" numFmtId="9" xfId="0" applyAlignment="1" applyBorder="1" applyFont="1" applyNumberFormat="1">
      <alignment horizontal="center" shrinkToFit="0" vertical="center" wrapText="1"/>
    </xf>
    <xf borderId="19" fillId="7" fontId="13" numFmtId="9" xfId="0" applyAlignment="1" applyBorder="1" applyFont="1" applyNumberFormat="1">
      <alignment horizontal="center" shrinkToFit="0" vertical="center" wrapText="1"/>
    </xf>
    <xf borderId="19" fillId="5" fontId="13" numFmtId="9" xfId="0" applyAlignment="1" applyBorder="1" applyFont="1" applyNumberFormat="1">
      <alignment horizontal="center" shrinkToFit="0" vertical="center" wrapText="1"/>
    </xf>
    <xf borderId="24" fillId="5" fontId="13" numFmtId="164" xfId="0" applyAlignment="1" applyBorder="1" applyFont="1" applyNumberFormat="1">
      <alignment horizontal="center" shrinkToFit="0" vertical="center" wrapText="1"/>
    </xf>
    <xf borderId="24" fillId="7" fontId="13" numFmtId="1" xfId="0" applyAlignment="1" applyBorder="1" applyFont="1" applyNumberFormat="1">
      <alignment horizontal="center" shrinkToFit="0" vertical="center" wrapText="1"/>
    </xf>
    <xf borderId="24" fillId="7" fontId="13" numFmtId="49" xfId="0" applyAlignment="1" applyBorder="1" applyFont="1" applyNumberFormat="1">
      <alignment horizontal="center" shrinkToFit="0" vertical="center" wrapText="1"/>
    </xf>
    <xf borderId="19" fillId="10" fontId="13" numFmtId="0" xfId="0" applyAlignment="1" applyBorder="1" applyFill="1" applyFont="1">
      <alignment horizontal="center" shrinkToFit="0" vertical="center" wrapText="1"/>
    </xf>
    <xf borderId="19" fillId="10" fontId="13" numFmtId="1" xfId="0" applyAlignment="1" applyBorder="1" applyFont="1" applyNumberFormat="1">
      <alignment horizontal="center" shrinkToFit="0" vertical="center" wrapText="1"/>
    </xf>
    <xf borderId="19" fillId="10" fontId="13" numFmtId="49" xfId="0" applyAlignment="1" applyBorder="1" applyFont="1" applyNumberFormat="1">
      <alignment horizontal="center" shrinkToFit="0" vertical="center" wrapText="1"/>
    </xf>
    <xf borderId="19" fillId="10" fontId="13" numFmtId="9" xfId="0" applyAlignment="1" applyBorder="1" applyFont="1" applyNumberFormat="1">
      <alignment horizontal="center" shrinkToFit="0" vertical="center" wrapText="1"/>
    </xf>
    <xf borderId="19" fillId="10" fontId="13" numFmtId="164" xfId="0" applyAlignment="1" applyBorder="1" applyFont="1" applyNumberFormat="1">
      <alignment horizontal="center" shrinkToFit="0" vertical="center" wrapText="1"/>
    </xf>
    <xf borderId="24" fillId="10" fontId="13" numFmtId="0" xfId="0" applyAlignment="1" applyBorder="1" applyFont="1">
      <alignment horizontal="center" shrinkToFit="0" vertical="center" wrapText="1"/>
    </xf>
    <xf borderId="24" fillId="10" fontId="13" numFmtId="1" xfId="0" applyAlignment="1" applyBorder="1" applyFont="1" applyNumberFormat="1">
      <alignment horizontal="center" shrinkToFit="0" vertical="center" wrapText="1"/>
    </xf>
    <xf borderId="24" fillId="10" fontId="13" numFmtId="164" xfId="0" applyAlignment="1" applyBorder="1" applyFont="1" applyNumberFormat="1">
      <alignment horizontal="center" shrinkToFit="0" vertical="center" wrapText="1"/>
    </xf>
    <xf borderId="24" fillId="10" fontId="13" numFmtId="49" xfId="0" applyAlignment="1" applyBorder="1" applyFont="1" applyNumberFormat="1">
      <alignment horizontal="center" shrinkToFit="0" vertical="center" wrapText="1"/>
    </xf>
    <xf borderId="26" fillId="11" fontId="18" numFmtId="0" xfId="0" applyAlignment="1" applyBorder="1" applyFill="1" applyFont="1">
      <alignment horizontal="center" shrinkToFit="0" vertical="center" wrapText="1"/>
    </xf>
    <xf borderId="33" fillId="0" fontId="3" numFmtId="0" xfId="0" applyBorder="1" applyFont="1"/>
    <xf borderId="19" fillId="10" fontId="13" numFmtId="165" xfId="0" applyAlignment="1" applyBorder="1" applyFont="1" applyNumberFormat="1">
      <alignment horizontal="center" shrinkToFit="0" vertical="center" wrapText="1"/>
    </xf>
    <xf borderId="26" fillId="12" fontId="19" numFmtId="0" xfId="0" applyAlignment="1" applyBorder="1" applyFill="1" applyFont="1">
      <alignment horizontal="center" shrinkToFit="0" vertical="center" wrapText="1"/>
    </xf>
    <xf borderId="34" fillId="2" fontId="14" numFmtId="0" xfId="0" applyAlignment="1" applyBorder="1" applyFont="1">
      <alignment horizontal="center" shrinkToFit="0" vertical="center" wrapText="1"/>
    </xf>
    <xf borderId="35" fillId="2" fontId="15" numFmtId="0" xfId="0" applyAlignment="1" applyBorder="1" applyFont="1">
      <alignment horizontal="center" shrinkToFit="0" vertical="center" wrapText="1"/>
    </xf>
    <xf borderId="35" fillId="2" fontId="15" numFmtId="49" xfId="0" applyAlignment="1" applyBorder="1" applyFont="1" applyNumberFormat="1">
      <alignment horizontal="center" shrinkToFit="0" vertical="center" wrapText="1"/>
    </xf>
    <xf borderId="21" fillId="2" fontId="15" numFmtId="0" xfId="0" applyAlignment="1" applyBorder="1" applyFont="1">
      <alignment horizontal="center" shrinkToFit="0" vertical="center" wrapText="1"/>
    </xf>
    <xf borderId="36" fillId="3" fontId="16" numFmtId="0" xfId="0" applyAlignment="1" applyBorder="1" applyFont="1">
      <alignment horizontal="center" shrinkToFit="0" vertical="center" wrapText="1"/>
    </xf>
    <xf borderId="30" fillId="10" fontId="13" numFmtId="0" xfId="0" applyAlignment="1" applyBorder="1" applyFont="1">
      <alignment horizontal="center" shrinkToFit="0" vertical="center" wrapText="1"/>
    </xf>
    <xf borderId="30" fillId="10" fontId="13" numFmtId="1" xfId="0" applyAlignment="1" applyBorder="1" applyFont="1" applyNumberFormat="1">
      <alignment horizontal="center" shrinkToFit="0" vertical="center" wrapText="1"/>
    </xf>
    <xf borderId="30" fillId="10" fontId="13" numFmtId="49" xfId="0" applyAlignment="1" applyBorder="1" applyFont="1" applyNumberFormat="1">
      <alignment horizontal="center" shrinkToFit="0" vertical="center" wrapText="1"/>
    </xf>
    <xf borderId="30" fillId="10" fontId="13" numFmtId="9" xfId="0" applyAlignment="1" applyBorder="1" applyFont="1" applyNumberFormat="1">
      <alignment horizontal="center" shrinkToFit="0" vertical="center" wrapText="1"/>
    </xf>
    <xf borderId="37" fillId="0" fontId="3" numFmtId="0" xfId="0" applyBorder="1" applyFont="1"/>
    <xf borderId="19" fillId="4" fontId="13" numFmtId="0" xfId="0" applyAlignment="1" applyBorder="1" applyFont="1">
      <alignment horizontal="center" shrinkToFit="0" vertical="center" wrapText="1"/>
    </xf>
    <xf borderId="19" fillId="4" fontId="13" numFmtId="1" xfId="0" applyAlignment="1" applyBorder="1" applyFont="1" applyNumberFormat="1">
      <alignment horizontal="center" shrinkToFit="0" vertical="center" wrapText="1"/>
    </xf>
    <xf borderId="19" fillId="4" fontId="13" numFmtId="49" xfId="0" applyAlignment="1" applyBorder="1" applyFont="1" applyNumberFormat="1">
      <alignment horizontal="center" shrinkToFit="0" vertical="center" wrapText="1"/>
    </xf>
    <xf borderId="19" fillId="4" fontId="13" numFmtId="9" xfId="0" applyAlignment="1" applyBorder="1" applyFont="1" applyNumberFormat="1">
      <alignment horizontal="center" shrinkToFit="0" vertical="center" wrapText="1"/>
    </xf>
    <xf borderId="19" fillId="4" fontId="13" numFmtId="164" xfId="0" applyAlignment="1" applyBorder="1" applyFont="1" applyNumberFormat="1">
      <alignment horizontal="center" shrinkToFit="0" vertical="center" wrapText="1"/>
    </xf>
    <xf borderId="38" fillId="0" fontId="3" numFmtId="0" xfId="0" applyBorder="1" applyFont="1"/>
    <xf borderId="24" fillId="4" fontId="13" numFmtId="0" xfId="0" applyAlignment="1" applyBorder="1" applyFont="1">
      <alignment horizontal="center" shrinkToFit="0" vertical="center" wrapText="1"/>
    </xf>
    <xf borderId="24" fillId="4" fontId="13" numFmtId="1" xfId="0" applyAlignment="1" applyBorder="1" applyFont="1" applyNumberFormat="1">
      <alignment horizontal="center" shrinkToFit="0" vertical="center" wrapText="1"/>
    </xf>
    <xf borderId="24" fillId="4" fontId="13" numFmtId="49" xfId="0" applyAlignment="1" applyBorder="1" applyFont="1" applyNumberForma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30" fillId="7" fontId="13" numFmtId="0" xfId="0" applyAlignment="1" applyBorder="1" applyFont="1">
      <alignment horizontal="center" shrinkToFit="0" vertical="center" wrapText="1"/>
    </xf>
    <xf borderId="30" fillId="7" fontId="13" numFmtId="49" xfId="0" applyAlignment="1" applyBorder="1" applyFont="1" applyNumberFormat="1">
      <alignment horizontal="center" shrinkToFit="0" vertical="center" wrapText="1"/>
    </xf>
    <xf borderId="30" fillId="7" fontId="13" numFmtId="9" xfId="0" applyAlignment="1" applyBorder="1" applyFont="1" applyNumberFormat="1">
      <alignment horizontal="center" shrinkToFit="0" vertical="center" wrapText="1"/>
    </xf>
    <xf borderId="30" fillId="10" fontId="13" numFmtId="165" xfId="0" applyAlignment="1" applyBorder="1" applyFont="1" applyNumberFormat="1">
      <alignment horizontal="center" shrinkToFit="0" vertical="center" wrapText="1"/>
    </xf>
    <xf borderId="26" fillId="5" fontId="17" numFmtId="0" xfId="0" applyAlignment="1" applyBorder="1" applyFont="1">
      <alignment horizontal="center" shrinkToFit="0" vertical="center" wrapText="1"/>
    </xf>
    <xf borderId="26" fillId="12" fontId="19" numFmtId="0" xfId="0" applyAlignment="1" applyBorder="1" applyFont="1">
      <alignment horizontal="center" shrinkToFit="0" wrapText="1"/>
    </xf>
    <xf borderId="1" fillId="13" fontId="19" numFmtId="0" xfId="0" applyAlignment="1" applyBorder="1" applyFill="1" applyFont="1">
      <alignment shrinkToFit="0" wrapText="1"/>
    </xf>
    <xf borderId="30" fillId="7" fontId="13" numFmtId="1" xfId="0" applyAlignment="1" applyBorder="1" applyFont="1" applyNumberFormat="1">
      <alignment horizontal="center" shrinkToFit="0" vertical="center" wrapText="1"/>
    </xf>
    <xf borderId="40" fillId="3" fontId="16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17" fillId="2" fontId="15" numFmtId="49" xfId="0" applyAlignment="1" applyBorder="1" applyFont="1" applyNumberFormat="1">
      <alignment horizontal="center" shrinkToFit="0" vertical="center" wrapText="1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2" pivot="0" name="4x-style">
      <tableStyleElement dxfId="3" type="firstRowStripe"/>
      <tableStyleElement dxfId="4" type="secondRowStripe"/>
    </tableStyle>
    <tableStyle count="2" pivot="0" name="4x-style 2">
      <tableStyleElement dxfId="3" type="firstRowStripe"/>
      <tableStyleElement dxfId="4" type="secondRowStripe"/>
    </tableStyle>
    <tableStyle count="2" pivot="0" name="4x-style 3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4:K20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4x-style" showColumnStripes="0" showFirstColumn="1" showLastColumn="1" showRowStripes="1"/>
</table>
</file>

<file path=xl/tables/table2.xml><?xml version="1.0" encoding="utf-8"?>
<table xmlns="http://schemas.openxmlformats.org/spreadsheetml/2006/main" headerRowCount="0" ref="C21:K26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4x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8:K34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4x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2.13"/>
    <col customWidth="1" min="2" max="2" width="30.38"/>
    <col customWidth="1" min="3" max="3" width="64.25"/>
    <col customWidth="1" min="4" max="4" width="23.25"/>
    <col customWidth="1" min="5" max="5" width="19.0"/>
    <col customWidth="1" min="6" max="6" width="19.25"/>
    <col customWidth="1" min="7" max="7" width="22.13"/>
    <col customWidth="1" min="8" max="8" width="20.13"/>
    <col customWidth="1" min="9" max="9" width="18.38"/>
    <col customWidth="1" min="10" max="10" width="20.38"/>
    <col customWidth="1" min="11" max="11" width="107.38"/>
    <col customWidth="1" min="12" max="26" width="14.38"/>
  </cols>
  <sheetData>
    <row r="1" ht="36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8.25" customHeight="1">
      <c r="A2" s="1"/>
      <c r="B2" s="5"/>
      <c r="C2" s="6"/>
      <c r="D2" s="7"/>
      <c r="E2" s="7"/>
      <c r="F2" s="8"/>
      <c r="G2" s="9"/>
      <c r="H2" s="7"/>
      <c r="I2" s="7"/>
      <c r="J2" s="7"/>
      <c r="K2" s="10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81.0" customHeight="1">
      <c r="A3" s="1"/>
      <c r="B3" s="5"/>
      <c r="C3" s="6"/>
      <c r="D3" s="11" t="s">
        <v>2</v>
      </c>
      <c r="E3" s="12"/>
      <c r="F3" s="12"/>
      <c r="G3" s="12"/>
      <c r="H3" s="13"/>
      <c r="I3" s="6"/>
      <c r="J3" s="6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75" customHeight="1">
      <c r="A4" s="1"/>
      <c r="B4" s="5"/>
      <c r="C4" s="6"/>
      <c r="D4" s="14" t="s">
        <v>3</v>
      </c>
      <c r="E4" s="15"/>
      <c r="F4" s="15"/>
      <c r="G4" s="15"/>
      <c r="H4" s="16"/>
      <c r="I4" s="6"/>
      <c r="J4" s="6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8"/>
      <c r="C5" s="6"/>
      <c r="D5" s="19"/>
      <c r="E5" s="19"/>
      <c r="F5" s="19"/>
      <c r="G5" s="17"/>
      <c r="H5" s="19"/>
      <c r="I5" s="19"/>
      <c r="J5" s="19"/>
      <c r="K5" s="1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"/>
      <c r="C6" s="6"/>
      <c r="D6" s="6"/>
      <c r="E6" s="6"/>
      <c r="F6" s="6"/>
      <c r="G6" s="17"/>
      <c r="H6" s="6"/>
      <c r="I6" s="6"/>
      <c r="J6" s="6"/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8.0" customHeight="1">
      <c r="A7" s="1"/>
      <c r="B7" s="18"/>
      <c r="C7" s="20" t="s">
        <v>4</v>
      </c>
      <c r="D7" s="21"/>
      <c r="E7" s="22" t="s">
        <v>5</v>
      </c>
      <c r="F7" s="23" t="s">
        <v>6</v>
      </c>
      <c r="G7" s="22" t="s">
        <v>7</v>
      </c>
      <c r="H7" s="22" t="s">
        <v>8</v>
      </c>
      <c r="I7" s="17"/>
      <c r="J7" s="19"/>
      <c r="K7" s="1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18"/>
      <c r="C8" s="24"/>
      <c r="D8" s="25"/>
      <c r="E8" s="26">
        <v>310.0</v>
      </c>
      <c r="F8" s="27" t="s">
        <v>9</v>
      </c>
      <c r="G8" s="26">
        <v>450.0</v>
      </c>
      <c r="H8" s="26">
        <v>145.0</v>
      </c>
      <c r="I8" s="19"/>
      <c r="J8" s="17"/>
      <c r="K8" s="1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8"/>
      <c r="C9" s="19"/>
      <c r="D9" s="19"/>
      <c r="E9" s="19"/>
      <c r="F9" s="19"/>
      <c r="G9" s="17"/>
      <c r="H9" s="19"/>
      <c r="I9" s="19"/>
      <c r="J9" s="19"/>
      <c r="K9" s="1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8"/>
      <c r="C10" s="3"/>
      <c r="D10" s="3"/>
      <c r="E10" s="3"/>
      <c r="F10" s="3"/>
      <c r="G10" s="3"/>
      <c r="H10" s="3"/>
      <c r="I10" s="3"/>
      <c r="J10" s="3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9"/>
      <c r="D11" s="1"/>
      <c r="E11" s="1"/>
      <c r="F11" s="1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9"/>
      <c r="D12" s="1"/>
      <c r="E12" s="1"/>
      <c r="F12" s="1"/>
      <c r="G12" s="2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30" t="s">
        <v>10</v>
      </c>
      <c r="C13" s="31" t="s">
        <v>11</v>
      </c>
      <c r="D13" s="31" t="s">
        <v>12</v>
      </c>
      <c r="E13" s="31" t="s">
        <v>13</v>
      </c>
      <c r="F13" s="32" t="s">
        <v>14</v>
      </c>
      <c r="G13" s="31" t="s">
        <v>15</v>
      </c>
      <c r="H13" s="32" t="s">
        <v>16</v>
      </c>
      <c r="I13" s="32" t="s">
        <v>17</v>
      </c>
      <c r="J13" s="32" t="s">
        <v>18</v>
      </c>
      <c r="K13" s="33" t="s">
        <v>19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34" t="s">
        <v>20</v>
      </c>
      <c r="C14" s="35" t="s">
        <v>21</v>
      </c>
      <c r="D14" s="36">
        <v>4.0</v>
      </c>
      <c r="E14" s="36">
        <v>1.0</v>
      </c>
      <c r="F14" s="35">
        <v>1.0</v>
      </c>
      <c r="G14" s="35" t="str">
        <f>IF(D4="kg",MROUND(E8*0.85,2.5)&amp;"-"&amp;MROUND(E8*0.875,2.5),MROUND(E8*0.85,5)&amp;"-"&amp;MROUND(E8*0.875,5))</f>
        <v>262.5-272.5</v>
      </c>
      <c r="H14" s="35" t="s">
        <v>22</v>
      </c>
      <c r="I14" s="35" t="s">
        <v>23</v>
      </c>
      <c r="J14" s="37" t="s">
        <v>24</v>
      </c>
      <c r="K14" s="35" t="s">
        <v>25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38"/>
      <c r="C15" s="39" t="s">
        <v>26</v>
      </c>
      <c r="D15" s="40">
        <v>0.0</v>
      </c>
      <c r="E15" s="41">
        <v>2.0</v>
      </c>
      <c r="F15" s="39">
        <v>5.0</v>
      </c>
      <c r="G15" s="39" t="str">
        <f>IF(D4="kg",MROUND(E8*0.75,2.5)&amp;"-"&amp;MROUND(E8*0.775,2.5),MROUND(E8*0.75,5)&amp;"-"&amp;MROUND(E8*0.775,5))</f>
        <v>232.5-240</v>
      </c>
      <c r="H15" s="39" t="s">
        <v>27</v>
      </c>
      <c r="I15" s="42">
        <v>44750.0</v>
      </c>
      <c r="J15" s="43" t="s">
        <v>24</v>
      </c>
      <c r="K15" s="39" t="s">
        <v>28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38"/>
      <c r="C16" s="44" t="s">
        <v>29</v>
      </c>
      <c r="D16" s="45">
        <v>3.0</v>
      </c>
      <c r="E16" s="45">
        <v>3.0</v>
      </c>
      <c r="F16" s="46">
        <v>8.0</v>
      </c>
      <c r="G16" s="47"/>
      <c r="H16" s="46" t="s">
        <v>30</v>
      </c>
      <c r="I16" s="45">
        <v>6.0</v>
      </c>
      <c r="J16" s="48" t="s">
        <v>31</v>
      </c>
      <c r="K16" s="46" t="s">
        <v>32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38"/>
      <c r="C17" s="49" t="s">
        <v>33</v>
      </c>
      <c r="D17" s="41">
        <v>2.0</v>
      </c>
      <c r="E17" s="41">
        <v>2.0</v>
      </c>
      <c r="F17" s="50">
        <v>44783.0</v>
      </c>
      <c r="G17" s="41"/>
      <c r="H17" s="41" t="s">
        <v>30</v>
      </c>
      <c r="I17" s="49">
        <v>6.0</v>
      </c>
      <c r="J17" s="41" t="s">
        <v>34</v>
      </c>
      <c r="K17" s="49" t="s">
        <v>35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38"/>
      <c r="C18" s="44" t="s">
        <v>36</v>
      </c>
      <c r="D18" s="45">
        <v>1.0</v>
      </c>
      <c r="E18" s="45">
        <v>4.0</v>
      </c>
      <c r="F18" s="51">
        <v>44783.0</v>
      </c>
      <c r="G18" s="46"/>
      <c r="H18" s="45" t="s">
        <v>30</v>
      </c>
      <c r="I18" s="49">
        <v>8.0</v>
      </c>
      <c r="J18" s="48" t="s">
        <v>37</v>
      </c>
      <c r="K18" s="46" t="s">
        <v>38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38"/>
      <c r="C19" s="44" t="s">
        <v>39</v>
      </c>
      <c r="D19" s="45">
        <v>0.0</v>
      </c>
      <c r="E19" s="45">
        <v>4.0</v>
      </c>
      <c r="F19" s="46" t="s">
        <v>40</v>
      </c>
      <c r="G19" s="46"/>
      <c r="H19" s="46" t="s">
        <v>30</v>
      </c>
      <c r="I19" s="45">
        <v>9.0</v>
      </c>
      <c r="J19" s="48" t="s">
        <v>37</v>
      </c>
      <c r="K19" s="46" t="s">
        <v>41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52"/>
      <c r="C20" s="53" t="s">
        <v>42</v>
      </c>
      <c r="D20" s="54">
        <v>0.0</v>
      </c>
      <c r="E20" s="54">
        <v>3.0</v>
      </c>
      <c r="F20" s="54">
        <v>6.0</v>
      </c>
      <c r="G20" s="55"/>
      <c r="H20" s="56" t="s">
        <v>30</v>
      </c>
      <c r="I20" s="54">
        <v>8.0</v>
      </c>
      <c r="J20" s="57" t="s">
        <v>37</v>
      </c>
      <c r="K20" s="58" t="s">
        <v>43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9" t="s">
        <v>44</v>
      </c>
      <c r="C21" s="49" t="s">
        <v>45</v>
      </c>
      <c r="D21" s="49">
        <v>4.0</v>
      </c>
      <c r="E21" s="49">
        <v>4.0</v>
      </c>
      <c r="F21" s="49">
        <v>6.0</v>
      </c>
      <c r="G21" s="49">
        <f>IF(D4="kg",MROUND(F8*0.725,2.5),MROUND(F8*0.725,5))</f>
        <v>192.5</v>
      </c>
      <c r="H21" s="60" t="s">
        <v>46</v>
      </c>
      <c r="I21" s="50">
        <v>44750.0</v>
      </c>
      <c r="J21" s="60" t="s">
        <v>24</v>
      </c>
      <c r="K21" s="49" t="s">
        <v>47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8"/>
      <c r="C22" s="44" t="s">
        <v>48</v>
      </c>
      <c r="D22" s="45">
        <v>3.0</v>
      </c>
      <c r="E22" s="45">
        <v>3.0</v>
      </c>
      <c r="F22" s="46">
        <v>8.0</v>
      </c>
      <c r="G22" s="47"/>
      <c r="H22" s="45" t="s">
        <v>30</v>
      </c>
      <c r="I22" s="45">
        <v>6.0</v>
      </c>
      <c r="J22" s="48" t="s">
        <v>31</v>
      </c>
      <c r="K22" s="46" t="s">
        <v>49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8"/>
      <c r="C23" s="44" t="s">
        <v>50</v>
      </c>
      <c r="D23" s="45">
        <v>1.0</v>
      </c>
      <c r="E23" s="45">
        <v>4.0</v>
      </c>
      <c r="F23" s="51">
        <v>44720.0</v>
      </c>
      <c r="G23" s="61"/>
      <c r="H23" s="45" t="s">
        <v>30</v>
      </c>
      <c r="I23" s="46">
        <v>9.0</v>
      </c>
      <c r="J23" s="45" t="s">
        <v>34</v>
      </c>
      <c r="K23" s="46" t="s">
        <v>51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8"/>
      <c r="C24" s="44" t="s">
        <v>52</v>
      </c>
      <c r="D24" s="45">
        <v>1.0</v>
      </c>
      <c r="E24" s="45">
        <v>3.0</v>
      </c>
      <c r="F24" s="51">
        <v>44783.0</v>
      </c>
      <c r="G24" s="47"/>
      <c r="H24" s="46" t="s">
        <v>30</v>
      </c>
      <c r="I24" s="45">
        <v>10.0</v>
      </c>
      <c r="J24" s="48" t="s">
        <v>37</v>
      </c>
      <c r="K24" s="62" t="s">
        <v>53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8"/>
      <c r="C25" s="44" t="s">
        <v>54</v>
      </c>
      <c r="D25" s="45">
        <v>1.0</v>
      </c>
      <c r="E25" s="45">
        <v>4.0</v>
      </c>
      <c r="F25" s="51">
        <v>44720.0</v>
      </c>
      <c r="G25" s="46"/>
      <c r="H25" s="46" t="s">
        <v>30</v>
      </c>
      <c r="I25" s="45">
        <v>10.0</v>
      </c>
      <c r="J25" s="48" t="s">
        <v>37</v>
      </c>
      <c r="K25" s="46" t="s">
        <v>55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2"/>
      <c r="C26" s="54" t="s">
        <v>56</v>
      </c>
      <c r="D26" s="56">
        <v>0.0</v>
      </c>
      <c r="E26" s="56">
        <v>3.0</v>
      </c>
      <c r="F26" s="54" t="s">
        <v>40</v>
      </c>
      <c r="G26" s="55"/>
      <c r="H26" s="57" t="s">
        <v>30</v>
      </c>
      <c r="I26" s="56">
        <v>9.0</v>
      </c>
      <c r="J26" s="57" t="s">
        <v>37</v>
      </c>
      <c r="K26" s="58" t="s">
        <v>57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6.25" customHeight="1">
      <c r="A27" s="1"/>
      <c r="B27" s="63" t="s">
        <v>58</v>
      </c>
      <c r="C27" s="64"/>
      <c r="D27" s="64"/>
      <c r="E27" s="64"/>
      <c r="F27" s="64"/>
      <c r="G27" s="64"/>
      <c r="H27" s="64"/>
      <c r="I27" s="64"/>
      <c r="J27" s="64"/>
      <c r="K27" s="6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">
        <v>59</v>
      </c>
      <c r="C28" s="66" t="s">
        <v>60</v>
      </c>
      <c r="D28" s="67">
        <v>4.0</v>
      </c>
      <c r="E28" s="67">
        <v>1.0</v>
      </c>
      <c r="F28" s="67">
        <v>4.0</v>
      </c>
      <c r="G28" s="67">
        <f>IF(D4="kg",MROUND(G8*0.85,2.5),MROUND(G8*0.85,5))</f>
        <v>382.5</v>
      </c>
      <c r="H28" s="68">
        <v>0.85</v>
      </c>
      <c r="I28" s="69">
        <v>44782.0</v>
      </c>
      <c r="J28" s="70" t="s">
        <v>24</v>
      </c>
      <c r="K28" s="67" t="s">
        <v>61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8"/>
      <c r="C29" s="71" t="s">
        <v>62</v>
      </c>
      <c r="D29" s="72">
        <v>0.0</v>
      </c>
      <c r="E29" s="72">
        <v>2.0</v>
      </c>
      <c r="F29" s="62">
        <v>4.0</v>
      </c>
      <c r="G29" s="62">
        <f>IF(D4="kg",MROUND(G8*0.675,2.5),MROUND(G8*0.675,5))</f>
        <v>305</v>
      </c>
      <c r="H29" s="73">
        <v>0.675</v>
      </c>
      <c r="I29" s="72">
        <v>7.0</v>
      </c>
      <c r="J29" s="74" t="s">
        <v>31</v>
      </c>
      <c r="K29" s="62" t="s">
        <v>63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8"/>
      <c r="C30" s="75" t="s">
        <v>64</v>
      </c>
      <c r="D30" s="76">
        <v>3.0</v>
      </c>
      <c r="E30" s="76">
        <v>2.0</v>
      </c>
      <c r="F30" s="75">
        <v>8.0</v>
      </c>
      <c r="G30" s="75">
        <f>IF(D4="kg",MROUND(H8*0.7,2.5),MROUND(H8*0.7,5))</f>
        <v>102.5</v>
      </c>
      <c r="H30" s="77">
        <v>0.7</v>
      </c>
      <c r="I30" s="76">
        <v>6.0</v>
      </c>
      <c r="J30" s="78" t="s">
        <v>34</v>
      </c>
      <c r="K30" s="46" t="s">
        <v>41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8"/>
      <c r="C31" s="71" t="s">
        <v>65</v>
      </c>
      <c r="D31" s="72">
        <v>1.0</v>
      </c>
      <c r="E31" s="72">
        <v>4.0</v>
      </c>
      <c r="F31" s="62" t="s">
        <v>40</v>
      </c>
      <c r="G31" s="79"/>
      <c r="H31" s="74" t="s">
        <v>30</v>
      </c>
      <c r="I31" s="72">
        <v>9.0</v>
      </c>
      <c r="J31" s="74" t="s">
        <v>37</v>
      </c>
      <c r="K31" s="62" t="s">
        <v>66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8"/>
      <c r="C32" s="44" t="s">
        <v>67</v>
      </c>
      <c r="D32" s="45">
        <v>1.0</v>
      </c>
      <c r="E32" s="45">
        <v>3.0</v>
      </c>
      <c r="F32" s="46" t="s">
        <v>40</v>
      </c>
      <c r="G32" s="45"/>
      <c r="H32" s="48" t="s">
        <v>30</v>
      </c>
      <c r="I32" s="48" t="s">
        <v>68</v>
      </c>
      <c r="J32" s="48" t="s">
        <v>37</v>
      </c>
      <c r="K32" s="46" t="s">
        <v>69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8"/>
      <c r="C33" s="71" t="s">
        <v>70</v>
      </c>
      <c r="D33" s="62">
        <v>1.0</v>
      </c>
      <c r="E33" s="62">
        <v>4.0</v>
      </c>
      <c r="F33" s="80">
        <v>44783.0</v>
      </c>
      <c r="G33" s="79"/>
      <c r="H33" s="72" t="s">
        <v>30</v>
      </c>
      <c r="I33" s="62">
        <v>9.0</v>
      </c>
      <c r="J33" s="74" t="s">
        <v>37</v>
      </c>
      <c r="K33" s="62" t="s">
        <v>71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2"/>
      <c r="C34" s="81" t="s">
        <v>72</v>
      </c>
      <c r="D34" s="82">
        <v>1.0</v>
      </c>
      <c r="E34" s="82">
        <v>3.0</v>
      </c>
      <c r="F34" s="83">
        <v>44846.0</v>
      </c>
      <c r="G34" s="82"/>
      <c r="H34" s="84" t="s">
        <v>30</v>
      </c>
      <c r="I34" s="84" t="s">
        <v>73</v>
      </c>
      <c r="J34" s="84" t="s">
        <v>37</v>
      </c>
      <c r="K34" s="58" t="s">
        <v>74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">
        <v>75</v>
      </c>
      <c r="C35" s="85" t="s">
        <v>26</v>
      </c>
      <c r="D35" s="85">
        <v>4.0</v>
      </c>
      <c r="E35" s="85">
        <v>4.0</v>
      </c>
      <c r="F35" s="85">
        <v>6.0</v>
      </c>
      <c r="G35" s="85">
        <f>IF(D4="kg",MROUND(E8*0.7,2.5),MROUND(E8*0.7,5))</f>
        <v>217.5</v>
      </c>
      <c r="H35" s="86" t="s">
        <v>76</v>
      </c>
      <c r="I35" s="87">
        <v>44750.0</v>
      </c>
      <c r="J35" s="86" t="s">
        <v>24</v>
      </c>
      <c r="K35" s="85" t="s">
        <v>28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8"/>
      <c r="C36" s="88" t="s">
        <v>77</v>
      </c>
      <c r="D36" s="88">
        <v>4.0</v>
      </c>
      <c r="E36" s="88">
        <v>1.0</v>
      </c>
      <c r="F36" s="88">
        <v>1.0</v>
      </c>
      <c r="G36" s="88" t="str">
        <f>IF(D4="kg",MROUND(F8*0.875,2.5)&amp;"-"&amp;MROUND(F8*0.9,2.5),MROUND(F8*0.875,5)&amp;"-"&amp;MROUND(F8*0.9,5))</f>
        <v>232.5-237.5</v>
      </c>
      <c r="H36" s="88" t="s">
        <v>78</v>
      </c>
      <c r="I36" s="89" t="s">
        <v>79</v>
      </c>
      <c r="J36" s="90" t="s">
        <v>24</v>
      </c>
      <c r="K36" s="88" t="s">
        <v>80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8"/>
      <c r="C37" s="91" t="s">
        <v>45</v>
      </c>
      <c r="D37" s="85">
        <v>0.0</v>
      </c>
      <c r="E37" s="85">
        <v>3.0</v>
      </c>
      <c r="F37" s="85">
        <v>3.0</v>
      </c>
      <c r="G37" s="85">
        <f>IF(D4="kg",MROUND(F8*0.825,2.5),MROUND(F8*0.825,5))</f>
        <v>217.5</v>
      </c>
      <c r="H37" s="92">
        <v>0.825</v>
      </c>
      <c r="I37" s="87">
        <v>44750.0</v>
      </c>
      <c r="J37" s="86" t="s">
        <v>24</v>
      </c>
      <c r="K37" s="85" t="s">
        <v>47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8"/>
      <c r="C38" s="93" t="s">
        <v>81</v>
      </c>
      <c r="D38" s="93">
        <v>1.0</v>
      </c>
      <c r="E38" s="93">
        <v>3.0</v>
      </c>
      <c r="F38" s="94">
        <v>44846.0</v>
      </c>
      <c r="G38" s="93"/>
      <c r="H38" s="95" t="s">
        <v>30</v>
      </c>
      <c r="I38" s="93">
        <v>8.0</v>
      </c>
      <c r="J38" s="95" t="s">
        <v>34</v>
      </c>
      <c r="K38" s="93" t="s">
        <v>82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8"/>
      <c r="C39" s="91" t="s">
        <v>83</v>
      </c>
      <c r="D39" s="96">
        <v>1.0</v>
      </c>
      <c r="E39" s="96">
        <v>3.0</v>
      </c>
      <c r="F39" s="87">
        <v>44846.0</v>
      </c>
      <c r="G39" s="85"/>
      <c r="H39" s="85" t="s">
        <v>30</v>
      </c>
      <c r="I39" s="96">
        <v>8.0</v>
      </c>
      <c r="J39" s="86" t="s">
        <v>37</v>
      </c>
      <c r="K39" s="85" t="s">
        <v>84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2"/>
      <c r="C40" s="97" t="s">
        <v>85</v>
      </c>
      <c r="D40" s="97">
        <v>0.0</v>
      </c>
      <c r="E40" s="97">
        <v>3.0</v>
      </c>
      <c r="F40" s="98">
        <v>44910.0</v>
      </c>
      <c r="G40" s="97"/>
      <c r="H40" s="99" t="s">
        <v>30</v>
      </c>
      <c r="I40" s="97">
        <v>8.0</v>
      </c>
      <c r="J40" s="99" t="s">
        <v>37</v>
      </c>
      <c r="K40" s="97" t="s">
        <v>86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6.25" customHeight="1">
      <c r="A41" s="1"/>
      <c r="B41" s="63" t="s">
        <v>87</v>
      </c>
      <c r="C41" s="64"/>
      <c r="D41" s="64"/>
      <c r="E41" s="64"/>
      <c r="F41" s="64"/>
      <c r="G41" s="64"/>
      <c r="H41" s="64"/>
      <c r="I41" s="64"/>
      <c r="J41" s="64"/>
      <c r="K41" s="6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0" t="s">
        <v>88</v>
      </c>
      <c r="C42" s="31" t="s">
        <v>11</v>
      </c>
      <c r="D42" s="31" t="s">
        <v>12</v>
      </c>
      <c r="E42" s="31" t="s">
        <v>13</v>
      </c>
      <c r="F42" s="32" t="s">
        <v>14</v>
      </c>
      <c r="G42" s="31" t="s">
        <v>15</v>
      </c>
      <c r="H42" s="32" t="s">
        <v>16</v>
      </c>
      <c r="I42" s="32" t="s">
        <v>17</v>
      </c>
      <c r="J42" s="32" t="s">
        <v>18</v>
      </c>
      <c r="K42" s="33" t="s">
        <v>19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">
        <v>20</v>
      </c>
      <c r="C43" s="88" t="s">
        <v>21</v>
      </c>
      <c r="D43" s="89">
        <v>4.0</v>
      </c>
      <c r="E43" s="89">
        <v>1.0</v>
      </c>
      <c r="F43" s="88">
        <v>1.0</v>
      </c>
      <c r="G43" s="88" t="str">
        <f>IF(D4="kg",MROUND(E8*0.85,2.5)&amp;"-"&amp;MROUND(E8*0.875,2.5),MROUND(E8*0.85,5)&amp;"-"&amp;MROUND(E8*0.875,5))</f>
        <v>262.5-272.5</v>
      </c>
      <c r="H43" s="88" t="s">
        <v>22</v>
      </c>
      <c r="I43" s="88" t="s">
        <v>23</v>
      </c>
      <c r="J43" s="90" t="s">
        <v>24</v>
      </c>
      <c r="K43" s="88" t="s">
        <v>25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8"/>
      <c r="C44" s="93" t="s">
        <v>26</v>
      </c>
      <c r="D44" s="100">
        <v>0.0</v>
      </c>
      <c r="E44" s="100">
        <v>2.0</v>
      </c>
      <c r="F44" s="93">
        <v>5.0</v>
      </c>
      <c r="G44" s="93" t="str">
        <f>IF(D4="kg",MROUND(E8*0.75,2.5)&amp;"-"&amp;MROUND(E8*0.775,2.5),MROUND(E8*0.75,5)&amp;"-"&amp;MROUND(E8*0.775,5))</f>
        <v>232.5-240</v>
      </c>
      <c r="H44" s="93" t="s">
        <v>27</v>
      </c>
      <c r="I44" s="94">
        <v>44750.0</v>
      </c>
      <c r="J44" s="95" t="s">
        <v>24</v>
      </c>
      <c r="K44" s="93" t="s">
        <v>28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8"/>
      <c r="C45" s="91" t="s">
        <v>89</v>
      </c>
      <c r="D45" s="96">
        <v>3.0</v>
      </c>
      <c r="E45" s="96">
        <v>3.0</v>
      </c>
      <c r="F45" s="85">
        <v>8.0</v>
      </c>
      <c r="G45" s="101" t="str">
        <f>IF(D4="kg",MROUND(F8*0.7,2.5)&amp;"-"&amp;MROUND(F8*0.75,2.5),MROUND(F8*0.7,5)&amp;"-"&amp;MROUND(F8*0.75,5))</f>
        <v>185-200</v>
      </c>
      <c r="H45" s="85" t="s">
        <v>90</v>
      </c>
      <c r="I45" s="96">
        <v>6.0</v>
      </c>
      <c r="J45" s="86" t="s">
        <v>31</v>
      </c>
      <c r="K45" s="85" t="s">
        <v>91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8"/>
      <c r="C46" s="93" t="s">
        <v>33</v>
      </c>
      <c r="D46" s="100">
        <v>2.0</v>
      </c>
      <c r="E46" s="100">
        <v>2.0</v>
      </c>
      <c r="F46" s="94">
        <v>44783.0</v>
      </c>
      <c r="G46" s="100"/>
      <c r="H46" s="100" t="s">
        <v>30</v>
      </c>
      <c r="I46" s="93">
        <v>6.0</v>
      </c>
      <c r="J46" s="100" t="s">
        <v>34</v>
      </c>
      <c r="K46" s="93" t="s">
        <v>35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8"/>
      <c r="C47" s="91" t="s">
        <v>36</v>
      </c>
      <c r="D47" s="96">
        <v>1.0</v>
      </c>
      <c r="E47" s="96">
        <v>4.0</v>
      </c>
      <c r="F47" s="87">
        <v>44783.0</v>
      </c>
      <c r="G47" s="85"/>
      <c r="H47" s="96" t="s">
        <v>30</v>
      </c>
      <c r="I47" s="85">
        <v>8.0</v>
      </c>
      <c r="J47" s="86" t="s">
        <v>37</v>
      </c>
      <c r="K47" s="85" t="s">
        <v>38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8"/>
      <c r="C48" s="102" t="s">
        <v>39</v>
      </c>
      <c r="D48" s="100">
        <v>0.0</v>
      </c>
      <c r="E48" s="100">
        <v>4.0</v>
      </c>
      <c r="F48" s="93" t="s">
        <v>40</v>
      </c>
      <c r="G48" s="93"/>
      <c r="H48" s="93" t="s">
        <v>30</v>
      </c>
      <c r="I48" s="100">
        <v>9.0</v>
      </c>
      <c r="J48" s="95" t="s">
        <v>37</v>
      </c>
      <c r="K48" s="93" t="s">
        <v>41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2"/>
      <c r="C49" s="103" t="s">
        <v>42</v>
      </c>
      <c r="D49" s="104">
        <v>0.0</v>
      </c>
      <c r="E49" s="104">
        <v>3.0</v>
      </c>
      <c r="F49" s="104">
        <v>6.0</v>
      </c>
      <c r="G49" s="105"/>
      <c r="H49" s="106" t="s">
        <v>30</v>
      </c>
      <c r="I49" s="104">
        <v>8.0</v>
      </c>
      <c r="J49" s="107" t="s">
        <v>37</v>
      </c>
      <c r="K49" s="104" t="s">
        <v>43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9" t="s">
        <v>44</v>
      </c>
      <c r="C50" s="93" t="s">
        <v>45</v>
      </c>
      <c r="D50" s="93">
        <v>4.0</v>
      </c>
      <c r="E50" s="93">
        <v>3.0</v>
      </c>
      <c r="F50" s="93">
        <v>6.0</v>
      </c>
      <c r="G50" s="93">
        <f>IF(D4="kg",MROUND(F8*0.75,2.5),MROUND(F8*0.75,5))</f>
        <v>200</v>
      </c>
      <c r="H50" s="95" t="s">
        <v>92</v>
      </c>
      <c r="I50" s="94">
        <v>44750.0</v>
      </c>
      <c r="J50" s="95" t="s">
        <v>24</v>
      </c>
      <c r="K50" s="93" t="s">
        <v>47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8"/>
      <c r="C51" s="91" t="s">
        <v>93</v>
      </c>
      <c r="D51" s="96">
        <v>3.0</v>
      </c>
      <c r="E51" s="96">
        <v>3.0</v>
      </c>
      <c r="F51" s="85">
        <v>8.0</v>
      </c>
      <c r="G51" s="101"/>
      <c r="H51" s="96" t="s">
        <v>30</v>
      </c>
      <c r="I51" s="96">
        <v>6.0</v>
      </c>
      <c r="J51" s="86" t="s">
        <v>31</v>
      </c>
      <c r="K51" s="85" t="s">
        <v>94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8"/>
      <c r="C52" s="102" t="s">
        <v>50</v>
      </c>
      <c r="D52" s="100">
        <v>1.0</v>
      </c>
      <c r="E52" s="100">
        <v>4.0</v>
      </c>
      <c r="F52" s="94">
        <v>44720.0</v>
      </c>
      <c r="G52" s="108"/>
      <c r="H52" s="100" t="s">
        <v>30</v>
      </c>
      <c r="I52" s="93">
        <v>9.0</v>
      </c>
      <c r="J52" s="100" t="s">
        <v>34</v>
      </c>
      <c r="K52" s="93" t="s">
        <v>51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8"/>
      <c r="C53" s="91" t="s">
        <v>52</v>
      </c>
      <c r="D53" s="96">
        <v>1.0</v>
      </c>
      <c r="E53" s="96">
        <v>3.0</v>
      </c>
      <c r="F53" s="87">
        <v>44783.0</v>
      </c>
      <c r="G53" s="101"/>
      <c r="H53" s="85" t="s">
        <v>30</v>
      </c>
      <c r="I53" s="96">
        <v>10.0</v>
      </c>
      <c r="J53" s="86" t="s">
        <v>37</v>
      </c>
      <c r="K53" s="85" t="s">
        <v>53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8"/>
      <c r="C54" s="102" t="s">
        <v>54</v>
      </c>
      <c r="D54" s="100">
        <v>1.0</v>
      </c>
      <c r="E54" s="100">
        <v>4.0</v>
      </c>
      <c r="F54" s="94">
        <v>44720.0</v>
      </c>
      <c r="G54" s="93"/>
      <c r="H54" s="93" t="s">
        <v>30</v>
      </c>
      <c r="I54" s="100">
        <v>10.0</v>
      </c>
      <c r="J54" s="95" t="s">
        <v>37</v>
      </c>
      <c r="K54" s="93" t="s">
        <v>55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2"/>
      <c r="C55" s="104" t="s">
        <v>56</v>
      </c>
      <c r="D55" s="106">
        <v>0.0</v>
      </c>
      <c r="E55" s="106">
        <v>3.0</v>
      </c>
      <c r="F55" s="104" t="s">
        <v>40</v>
      </c>
      <c r="G55" s="105"/>
      <c r="H55" s="107" t="s">
        <v>30</v>
      </c>
      <c r="I55" s="106">
        <v>9.0</v>
      </c>
      <c r="J55" s="107" t="s">
        <v>37</v>
      </c>
      <c r="K55" s="104" t="s">
        <v>57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6.25" customHeight="1">
      <c r="A56" s="1"/>
      <c r="B56" s="63" t="s">
        <v>58</v>
      </c>
      <c r="C56" s="64"/>
      <c r="D56" s="64"/>
      <c r="E56" s="64"/>
      <c r="F56" s="64"/>
      <c r="G56" s="64"/>
      <c r="H56" s="64"/>
      <c r="I56" s="64"/>
      <c r="J56" s="64"/>
      <c r="K56" s="6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">
        <v>59</v>
      </c>
      <c r="C57" s="109" t="s">
        <v>60</v>
      </c>
      <c r="D57" s="110">
        <v>4.0</v>
      </c>
      <c r="E57" s="110">
        <v>1.0</v>
      </c>
      <c r="F57" s="110">
        <v>2.0</v>
      </c>
      <c r="G57" s="110">
        <f>IF(D4="kg",MROUND(G8*0.9,2.5),MROUND(G8*0.9,5))</f>
        <v>405</v>
      </c>
      <c r="H57" s="111">
        <v>0.9</v>
      </c>
      <c r="I57" s="112">
        <v>44782.0</v>
      </c>
      <c r="J57" s="113" t="s">
        <v>24</v>
      </c>
      <c r="K57" s="110" t="s">
        <v>61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8"/>
      <c r="C58" s="102" t="s">
        <v>95</v>
      </c>
      <c r="D58" s="100">
        <v>0.0</v>
      </c>
      <c r="E58" s="100">
        <v>2.0</v>
      </c>
      <c r="F58" s="93">
        <v>8.0</v>
      </c>
      <c r="G58" s="93" t="str">
        <f>IF(D4="kg",MROUND(G8*0.65,2.5)&amp;"-"&amp;MROUND(G8*0.7,2.5),MROUND(G8*0.65,5)&amp;"-"&amp;MROUND(G8*0.7,5))</f>
        <v>292.5-315</v>
      </c>
      <c r="H58" s="93" t="s">
        <v>96</v>
      </c>
      <c r="I58" s="100">
        <v>7.0</v>
      </c>
      <c r="J58" s="95" t="s">
        <v>31</v>
      </c>
      <c r="K58" s="93" t="s">
        <v>97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8"/>
      <c r="C59" s="85" t="s">
        <v>64</v>
      </c>
      <c r="D59" s="96">
        <v>3.0</v>
      </c>
      <c r="E59" s="96">
        <v>2.0</v>
      </c>
      <c r="F59" s="85">
        <v>8.0</v>
      </c>
      <c r="G59" s="85">
        <f>IF(D4="kg",MROUND(H8*0.7,2.5),MROUND(H8*0.7,5))</f>
        <v>102.5</v>
      </c>
      <c r="H59" s="114">
        <v>0.7</v>
      </c>
      <c r="I59" s="96">
        <v>6.0</v>
      </c>
      <c r="J59" s="86" t="s">
        <v>34</v>
      </c>
      <c r="K59" s="85" t="s">
        <v>41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8"/>
      <c r="C60" s="102" t="s">
        <v>65</v>
      </c>
      <c r="D60" s="100">
        <v>1.0</v>
      </c>
      <c r="E60" s="100">
        <v>4.0</v>
      </c>
      <c r="F60" s="93" t="s">
        <v>40</v>
      </c>
      <c r="G60" s="115"/>
      <c r="H60" s="95" t="s">
        <v>30</v>
      </c>
      <c r="I60" s="100">
        <v>9.0</v>
      </c>
      <c r="J60" s="95" t="s">
        <v>37</v>
      </c>
      <c r="K60" s="93" t="s">
        <v>66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8"/>
      <c r="C61" s="91" t="s">
        <v>67</v>
      </c>
      <c r="D61" s="96">
        <v>1.0</v>
      </c>
      <c r="E61" s="96">
        <v>3.0</v>
      </c>
      <c r="F61" s="85" t="s">
        <v>40</v>
      </c>
      <c r="G61" s="96"/>
      <c r="H61" s="86" t="s">
        <v>30</v>
      </c>
      <c r="I61" s="86" t="s">
        <v>68</v>
      </c>
      <c r="J61" s="86" t="s">
        <v>37</v>
      </c>
      <c r="K61" s="85" t="s">
        <v>69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8"/>
      <c r="C62" s="102" t="s">
        <v>70</v>
      </c>
      <c r="D62" s="93">
        <v>1.0</v>
      </c>
      <c r="E62" s="93">
        <v>4.0</v>
      </c>
      <c r="F62" s="94">
        <v>44783.0</v>
      </c>
      <c r="G62" s="115"/>
      <c r="H62" s="100" t="s">
        <v>30</v>
      </c>
      <c r="I62" s="93">
        <v>9.0</v>
      </c>
      <c r="J62" s="95" t="s">
        <v>37</v>
      </c>
      <c r="K62" s="93" t="s">
        <v>71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2"/>
      <c r="C63" s="103" t="s">
        <v>72</v>
      </c>
      <c r="D63" s="106">
        <v>1.0</v>
      </c>
      <c r="E63" s="106">
        <v>3.0</v>
      </c>
      <c r="F63" s="116">
        <v>44846.0</v>
      </c>
      <c r="G63" s="106"/>
      <c r="H63" s="107" t="s">
        <v>30</v>
      </c>
      <c r="I63" s="107" t="s">
        <v>73</v>
      </c>
      <c r="J63" s="107" t="s">
        <v>37</v>
      </c>
      <c r="K63" s="104" t="s">
        <v>74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">
        <v>75</v>
      </c>
      <c r="C64" s="93" t="s">
        <v>26</v>
      </c>
      <c r="D64" s="93">
        <v>4.0</v>
      </c>
      <c r="E64" s="93">
        <v>3.0</v>
      </c>
      <c r="F64" s="93">
        <v>6.0</v>
      </c>
      <c r="G64" s="93">
        <f>IF(D4="kg",MROUND(E8*0.725,2.5),MROUND(E8*0.725,5))</f>
        <v>225</v>
      </c>
      <c r="H64" s="95" t="s">
        <v>46</v>
      </c>
      <c r="I64" s="94">
        <v>44750.0</v>
      </c>
      <c r="J64" s="95" t="s">
        <v>24</v>
      </c>
      <c r="K64" s="93" t="s">
        <v>28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8"/>
      <c r="C65" s="88" t="s">
        <v>77</v>
      </c>
      <c r="D65" s="88">
        <v>4.0</v>
      </c>
      <c r="E65" s="88">
        <v>1.0</v>
      </c>
      <c r="F65" s="88">
        <v>1.0</v>
      </c>
      <c r="G65" s="88" t="str">
        <f>IF(D4="kg",MROUND(F8*0.875,2.5)&amp;"-"&amp;MROUND(F8*0.9,2.5),MROUND(F8*0.875,5)&amp;"-"&amp;MROUND(F8*0.9,5))</f>
        <v>232.5-237.5</v>
      </c>
      <c r="H65" s="88" t="s">
        <v>78</v>
      </c>
      <c r="I65" s="89" t="s">
        <v>79</v>
      </c>
      <c r="J65" s="90" t="s">
        <v>24</v>
      </c>
      <c r="K65" s="88" t="s">
        <v>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8"/>
      <c r="C66" s="102" t="s">
        <v>45</v>
      </c>
      <c r="D66" s="93">
        <v>0.0</v>
      </c>
      <c r="E66" s="93">
        <v>3.0</v>
      </c>
      <c r="F66" s="93">
        <v>3.0</v>
      </c>
      <c r="G66" s="93" t="str">
        <f>IF(D4="kg",MROUND(F8*0.825,2.5)&amp;"-"&amp;MROUND(F8*0.85,2.5),MROUND(F8*0.825,5)&amp;"-"&amp;MROUND(F8*0.85,5))</f>
        <v>217.5-225</v>
      </c>
      <c r="H66" s="93" t="s">
        <v>99</v>
      </c>
      <c r="I66" s="94">
        <v>44750.0</v>
      </c>
      <c r="J66" s="95" t="s">
        <v>24</v>
      </c>
      <c r="K66" s="93" t="s">
        <v>47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8"/>
      <c r="C67" s="85" t="s">
        <v>81</v>
      </c>
      <c r="D67" s="85">
        <v>1.0</v>
      </c>
      <c r="E67" s="85">
        <v>3.0</v>
      </c>
      <c r="F67" s="87">
        <v>44846.0</v>
      </c>
      <c r="G67" s="85"/>
      <c r="H67" s="86" t="s">
        <v>30</v>
      </c>
      <c r="I67" s="85">
        <v>8.0</v>
      </c>
      <c r="J67" s="86" t="s">
        <v>34</v>
      </c>
      <c r="K67" s="85" t="s">
        <v>82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8"/>
      <c r="C68" s="102" t="s">
        <v>83</v>
      </c>
      <c r="D68" s="100">
        <v>1.0</v>
      </c>
      <c r="E68" s="100">
        <v>3.0</v>
      </c>
      <c r="F68" s="94">
        <v>44846.0</v>
      </c>
      <c r="G68" s="93"/>
      <c r="H68" s="93" t="s">
        <v>30</v>
      </c>
      <c r="I68" s="100">
        <v>8.0</v>
      </c>
      <c r="J68" s="95" t="s">
        <v>37</v>
      </c>
      <c r="K68" s="93" t="s">
        <v>84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2"/>
      <c r="C69" s="104" t="s">
        <v>85</v>
      </c>
      <c r="D69" s="104">
        <v>0.0</v>
      </c>
      <c r="E69" s="104">
        <v>3.0</v>
      </c>
      <c r="F69" s="116">
        <v>44910.0</v>
      </c>
      <c r="G69" s="104"/>
      <c r="H69" s="107" t="s">
        <v>30</v>
      </c>
      <c r="I69" s="104">
        <v>8.0</v>
      </c>
      <c r="J69" s="107" t="s">
        <v>37</v>
      </c>
      <c r="K69" s="104" t="s">
        <v>86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6.25" customHeight="1">
      <c r="A70" s="1"/>
      <c r="B70" s="63" t="s">
        <v>87</v>
      </c>
      <c r="C70" s="64"/>
      <c r="D70" s="64"/>
      <c r="E70" s="64"/>
      <c r="F70" s="64"/>
      <c r="G70" s="64"/>
      <c r="H70" s="64"/>
      <c r="I70" s="64"/>
      <c r="J70" s="64"/>
      <c r="K70" s="6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0" t="s">
        <v>100</v>
      </c>
      <c r="C71" s="117" t="s">
        <v>11</v>
      </c>
      <c r="D71" s="117" t="s">
        <v>12</v>
      </c>
      <c r="E71" s="117" t="s">
        <v>13</v>
      </c>
      <c r="F71" s="118" t="s">
        <v>14</v>
      </c>
      <c r="G71" s="31" t="s">
        <v>15</v>
      </c>
      <c r="H71" s="118" t="s">
        <v>16</v>
      </c>
      <c r="I71" s="118" t="s">
        <v>17</v>
      </c>
      <c r="J71" s="118" t="s">
        <v>18</v>
      </c>
      <c r="K71" s="119" t="s">
        <v>19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59" t="s">
        <v>20</v>
      </c>
      <c r="C72" s="120" t="s">
        <v>21</v>
      </c>
      <c r="D72" s="121">
        <v>4.0</v>
      </c>
      <c r="E72" s="121">
        <v>1.0</v>
      </c>
      <c r="F72" s="120">
        <v>1.0</v>
      </c>
      <c r="G72" s="120" t="str">
        <f>IF(D4="kg",MROUND(E8*0.875,2.5)&amp;"-"&amp;MROUND(E8*0.9,2.5),MROUND(E8*0.875,5)&amp;"-"&amp;MROUND(E8*0.9,5))</f>
        <v>272.5-280</v>
      </c>
      <c r="H72" s="120" t="s">
        <v>78</v>
      </c>
      <c r="I72" s="120" t="s">
        <v>101</v>
      </c>
      <c r="J72" s="122" t="s">
        <v>24</v>
      </c>
      <c r="K72" s="120" t="s">
        <v>25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8"/>
      <c r="C73" s="101" t="s">
        <v>26</v>
      </c>
      <c r="D73" s="123">
        <v>0.0</v>
      </c>
      <c r="E73" s="123">
        <v>2.0</v>
      </c>
      <c r="F73" s="101">
        <v>4.0</v>
      </c>
      <c r="G73" s="101" t="str">
        <f>IF(D4="kg",MROUND(E8*0.775,2.5)&amp;"-"&amp;MROUND(E8*0.8,2.5),MROUND(E8*0.775,5)&amp;"-"&amp;MROUND(E8*0.8,5))</f>
        <v>240-247.5</v>
      </c>
      <c r="H73" s="101" t="s">
        <v>102</v>
      </c>
      <c r="I73" s="124">
        <v>44750.0</v>
      </c>
      <c r="J73" s="125" t="s">
        <v>24</v>
      </c>
      <c r="K73" s="101" t="s">
        <v>28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8"/>
      <c r="C74" s="115" t="s">
        <v>29</v>
      </c>
      <c r="D74" s="108">
        <v>3.0</v>
      </c>
      <c r="E74" s="108">
        <v>3.0</v>
      </c>
      <c r="F74" s="115">
        <v>8.0</v>
      </c>
      <c r="G74" s="115"/>
      <c r="H74" s="115" t="s">
        <v>30</v>
      </c>
      <c r="I74" s="108">
        <v>6.0</v>
      </c>
      <c r="J74" s="126" t="s">
        <v>31</v>
      </c>
      <c r="K74" s="115" t="s">
        <v>32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8"/>
      <c r="C75" s="101" t="s">
        <v>33</v>
      </c>
      <c r="D75" s="123">
        <v>2.0</v>
      </c>
      <c r="E75" s="123">
        <v>2.0</v>
      </c>
      <c r="F75" s="124">
        <v>44783.0</v>
      </c>
      <c r="G75" s="123"/>
      <c r="H75" s="123" t="s">
        <v>30</v>
      </c>
      <c r="I75" s="101">
        <v>6.0</v>
      </c>
      <c r="J75" s="123" t="s">
        <v>34</v>
      </c>
      <c r="K75" s="101" t="s">
        <v>35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38"/>
      <c r="C76" s="115" t="s">
        <v>36</v>
      </c>
      <c r="D76" s="108">
        <v>1.0</v>
      </c>
      <c r="E76" s="108">
        <v>4.0</v>
      </c>
      <c r="F76" s="127">
        <v>44783.0</v>
      </c>
      <c r="G76" s="115"/>
      <c r="H76" s="108" t="s">
        <v>30</v>
      </c>
      <c r="I76" s="115">
        <v>8.0</v>
      </c>
      <c r="J76" s="126" t="s">
        <v>37</v>
      </c>
      <c r="K76" s="115" t="s">
        <v>38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38"/>
      <c r="C77" s="101" t="s">
        <v>39</v>
      </c>
      <c r="D77" s="123">
        <v>0.0</v>
      </c>
      <c r="E77" s="123">
        <v>4.0</v>
      </c>
      <c r="F77" s="101" t="s">
        <v>40</v>
      </c>
      <c r="G77" s="101"/>
      <c r="H77" s="101" t="s">
        <v>30</v>
      </c>
      <c r="I77" s="123">
        <v>9.0</v>
      </c>
      <c r="J77" s="125" t="s">
        <v>37</v>
      </c>
      <c r="K77" s="101" t="s">
        <v>41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2"/>
      <c r="C78" s="128" t="s">
        <v>42</v>
      </c>
      <c r="D78" s="128">
        <v>0.0</v>
      </c>
      <c r="E78" s="128">
        <v>3.0</v>
      </c>
      <c r="F78" s="128">
        <v>6.0</v>
      </c>
      <c r="G78" s="128"/>
      <c r="H78" s="129" t="s">
        <v>30</v>
      </c>
      <c r="I78" s="128">
        <v>8.0</v>
      </c>
      <c r="J78" s="130" t="s">
        <v>37</v>
      </c>
      <c r="K78" s="128" t="s">
        <v>43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9" t="s">
        <v>44</v>
      </c>
      <c r="C79" s="101" t="s">
        <v>45</v>
      </c>
      <c r="D79" s="101">
        <v>4.0</v>
      </c>
      <c r="E79" s="101">
        <v>3.0</v>
      </c>
      <c r="F79" s="101">
        <v>6.0</v>
      </c>
      <c r="G79" s="101">
        <f>IF(D4="kg",MROUND(F8*0.775,2.5),MROUND(F8*0.775,5))</f>
        <v>205</v>
      </c>
      <c r="H79" s="125" t="s">
        <v>103</v>
      </c>
      <c r="I79" s="124">
        <v>44750.0</v>
      </c>
      <c r="J79" s="125" t="s">
        <v>24</v>
      </c>
      <c r="K79" s="101" t="s">
        <v>47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38"/>
      <c r="C80" s="115" t="s">
        <v>48</v>
      </c>
      <c r="D80" s="108">
        <v>3.0</v>
      </c>
      <c r="E80" s="108">
        <v>3.0</v>
      </c>
      <c r="F80" s="115">
        <v>8.0</v>
      </c>
      <c r="G80" s="115"/>
      <c r="H80" s="108" t="s">
        <v>30</v>
      </c>
      <c r="I80" s="108">
        <v>6.0</v>
      </c>
      <c r="J80" s="126" t="s">
        <v>31</v>
      </c>
      <c r="K80" s="115" t="s">
        <v>49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38"/>
      <c r="C81" s="101" t="s">
        <v>50</v>
      </c>
      <c r="D81" s="123">
        <v>1.0</v>
      </c>
      <c r="E81" s="123">
        <v>4.0</v>
      </c>
      <c r="F81" s="124">
        <v>44720.0</v>
      </c>
      <c r="G81" s="123"/>
      <c r="H81" s="123" t="s">
        <v>30</v>
      </c>
      <c r="I81" s="101">
        <v>9.0</v>
      </c>
      <c r="J81" s="123" t="s">
        <v>34</v>
      </c>
      <c r="K81" s="101" t="s">
        <v>51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38"/>
      <c r="C82" s="115" t="s">
        <v>52</v>
      </c>
      <c r="D82" s="108">
        <v>1.0</v>
      </c>
      <c r="E82" s="108">
        <v>3.0</v>
      </c>
      <c r="F82" s="127">
        <v>44783.0</v>
      </c>
      <c r="G82" s="115"/>
      <c r="H82" s="115" t="s">
        <v>30</v>
      </c>
      <c r="I82" s="108">
        <v>10.0</v>
      </c>
      <c r="J82" s="126" t="s">
        <v>37</v>
      </c>
      <c r="K82" s="115" t="s">
        <v>53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38"/>
      <c r="C83" s="101" t="s">
        <v>54</v>
      </c>
      <c r="D83" s="123">
        <v>1.0</v>
      </c>
      <c r="E83" s="123">
        <v>4.0</v>
      </c>
      <c r="F83" s="124">
        <v>44720.0</v>
      </c>
      <c r="G83" s="101"/>
      <c r="H83" s="101" t="s">
        <v>30</v>
      </c>
      <c r="I83" s="123">
        <v>10.0</v>
      </c>
      <c r="J83" s="125" t="s">
        <v>37</v>
      </c>
      <c r="K83" s="101" t="s">
        <v>55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2"/>
      <c r="C84" s="128" t="s">
        <v>56</v>
      </c>
      <c r="D84" s="129">
        <v>0.0</v>
      </c>
      <c r="E84" s="129">
        <v>3.0</v>
      </c>
      <c r="F84" s="128" t="s">
        <v>40</v>
      </c>
      <c r="G84" s="128"/>
      <c r="H84" s="130" t="s">
        <v>30</v>
      </c>
      <c r="I84" s="129">
        <v>9.0</v>
      </c>
      <c r="J84" s="130" t="s">
        <v>37</v>
      </c>
      <c r="K84" s="128" t="s">
        <v>57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6.25" customHeight="1">
      <c r="A85" s="1"/>
      <c r="B85" s="131" t="s">
        <v>58</v>
      </c>
      <c r="C85" s="15"/>
      <c r="D85" s="15"/>
      <c r="E85" s="15"/>
      <c r="F85" s="15"/>
      <c r="G85" s="15"/>
      <c r="H85" s="15"/>
      <c r="I85" s="15"/>
      <c r="J85" s="15"/>
      <c r="K85" s="1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9" t="s">
        <v>59</v>
      </c>
      <c r="C86" s="120" t="s">
        <v>60</v>
      </c>
      <c r="D86" s="120">
        <v>4.0</v>
      </c>
      <c r="E86" s="120">
        <v>1.0</v>
      </c>
      <c r="F86" s="132">
        <v>44596.0</v>
      </c>
      <c r="G86" s="120">
        <f>IF(D4="kg",MROUND(G8*0.9,2.5),MROUND(G8*0.9,5))</f>
        <v>405</v>
      </c>
      <c r="H86" s="133">
        <v>0.9</v>
      </c>
      <c r="I86" s="132">
        <v>44782.0</v>
      </c>
      <c r="J86" s="122" t="s">
        <v>24</v>
      </c>
      <c r="K86" s="120" t="s">
        <v>61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38"/>
      <c r="C87" s="101" t="s">
        <v>62</v>
      </c>
      <c r="D87" s="123">
        <v>0.0</v>
      </c>
      <c r="E87" s="123">
        <v>2.0</v>
      </c>
      <c r="F87" s="101">
        <v>4.0</v>
      </c>
      <c r="G87" s="101">
        <f>IF(D4="kg",MROUND(G8*0.7,2.5),MROUND(G8*0.7,5))</f>
        <v>315</v>
      </c>
      <c r="H87" s="134">
        <v>0.7</v>
      </c>
      <c r="I87" s="123">
        <v>7.0</v>
      </c>
      <c r="J87" s="125" t="s">
        <v>31</v>
      </c>
      <c r="K87" s="101" t="s">
        <v>63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38"/>
      <c r="C88" s="115" t="s">
        <v>64</v>
      </c>
      <c r="D88" s="108">
        <v>3.0</v>
      </c>
      <c r="E88" s="108">
        <v>2.0</v>
      </c>
      <c r="F88" s="115">
        <v>8.0</v>
      </c>
      <c r="G88" s="115">
        <f>IF(D4="kg",MROUND(H8*0.7,2.5),MROUND(H8*0.7,5))</f>
        <v>102.5</v>
      </c>
      <c r="H88" s="135">
        <v>0.7</v>
      </c>
      <c r="I88" s="108">
        <v>6.0</v>
      </c>
      <c r="J88" s="126" t="s">
        <v>34</v>
      </c>
      <c r="K88" s="115" t="s">
        <v>41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38"/>
      <c r="C89" s="101" t="s">
        <v>65</v>
      </c>
      <c r="D89" s="123">
        <v>1.0</v>
      </c>
      <c r="E89" s="123">
        <v>4.0</v>
      </c>
      <c r="F89" s="101" t="s">
        <v>40</v>
      </c>
      <c r="G89" s="101"/>
      <c r="H89" s="125" t="s">
        <v>30</v>
      </c>
      <c r="I89" s="123">
        <v>9.0</v>
      </c>
      <c r="J89" s="125" t="s">
        <v>37</v>
      </c>
      <c r="K89" s="101" t="s">
        <v>66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38"/>
      <c r="C90" s="115" t="s">
        <v>67</v>
      </c>
      <c r="D90" s="108">
        <v>1.0</v>
      </c>
      <c r="E90" s="108">
        <v>3.0</v>
      </c>
      <c r="F90" s="115" t="s">
        <v>40</v>
      </c>
      <c r="G90" s="108"/>
      <c r="H90" s="126" t="s">
        <v>30</v>
      </c>
      <c r="I90" s="126" t="s">
        <v>68</v>
      </c>
      <c r="J90" s="126" t="s">
        <v>37</v>
      </c>
      <c r="K90" s="115" t="s">
        <v>69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38"/>
      <c r="C91" s="101" t="s">
        <v>70</v>
      </c>
      <c r="D91" s="101">
        <v>1.0</v>
      </c>
      <c r="E91" s="101">
        <v>4.0</v>
      </c>
      <c r="F91" s="124">
        <v>44783.0</v>
      </c>
      <c r="G91" s="101"/>
      <c r="H91" s="123" t="s">
        <v>30</v>
      </c>
      <c r="I91" s="101">
        <v>9.0</v>
      </c>
      <c r="J91" s="125" t="s">
        <v>37</v>
      </c>
      <c r="K91" s="101" t="s">
        <v>71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2"/>
      <c r="C92" s="128" t="s">
        <v>72</v>
      </c>
      <c r="D92" s="129">
        <v>1.0</v>
      </c>
      <c r="E92" s="129">
        <v>3.0</v>
      </c>
      <c r="F92" s="136">
        <v>44846.0</v>
      </c>
      <c r="G92" s="129"/>
      <c r="H92" s="130" t="s">
        <v>30</v>
      </c>
      <c r="I92" s="130" t="s">
        <v>73</v>
      </c>
      <c r="J92" s="130" t="s">
        <v>37</v>
      </c>
      <c r="K92" s="128" t="s">
        <v>74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9" t="s">
        <v>75</v>
      </c>
      <c r="C93" s="101" t="s">
        <v>26</v>
      </c>
      <c r="D93" s="101">
        <v>4.0</v>
      </c>
      <c r="E93" s="101">
        <v>2.0</v>
      </c>
      <c r="F93" s="101">
        <v>6.0</v>
      </c>
      <c r="G93" s="101">
        <f>IF(D4="kg",MROUND(E8*0.75,2.5),MROUND(E8*0.75,5))</f>
        <v>232.5</v>
      </c>
      <c r="H93" s="125" t="s">
        <v>92</v>
      </c>
      <c r="I93" s="124">
        <v>44750.0</v>
      </c>
      <c r="J93" s="125" t="s">
        <v>24</v>
      </c>
      <c r="K93" s="101" t="s">
        <v>28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38"/>
      <c r="C94" s="120" t="s">
        <v>77</v>
      </c>
      <c r="D94" s="120">
        <v>4.0</v>
      </c>
      <c r="E94" s="120">
        <v>1.0</v>
      </c>
      <c r="F94" s="120">
        <v>1.0</v>
      </c>
      <c r="G94" s="120" t="str">
        <f>IF(D4="kg",MROUND(F8*0.9,2.5)&amp;"-"&amp;MROUND(F8*0.925,2.5),MROUND(F8*0.9,5)&amp;"-"&amp;MROUND(F8*0.925,5))</f>
        <v>237.5-245</v>
      </c>
      <c r="H94" s="120" t="s">
        <v>104</v>
      </c>
      <c r="I94" s="121" t="s">
        <v>101</v>
      </c>
      <c r="J94" s="122" t="s">
        <v>24</v>
      </c>
      <c r="K94" s="120" t="s">
        <v>98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38"/>
      <c r="C95" s="101" t="s">
        <v>45</v>
      </c>
      <c r="D95" s="101">
        <v>0.0</v>
      </c>
      <c r="E95" s="101">
        <v>3.0</v>
      </c>
      <c r="F95" s="101">
        <v>2.0</v>
      </c>
      <c r="G95" s="101" t="str">
        <f>IF(D4="kg",MROUND(F8*0.85,2.5)&amp;"-"&amp;MROUND(F8*0.875,2.5),MROUND(F8*0.85,5)&amp;"-"&amp;MROUND(F8*0.875,5))</f>
        <v>225-232.5</v>
      </c>
      <c r="H95" s="101" t="s">
        <v>22</v>
      </c>
      <c r="I95" s="124">
        <v>44750.0</v>
      </c>
      <c r="J95" s="125" t="s">
        <v>24</v>
      </c>
      <c r="K95" s="101" t="s">
        <v>47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38"/>
      <c r="C96" s="115" t="s">
        <v>81</v>
      </c>
      <c r="D96" s="115">
        <v>1.0</v>
      </c>
      <c r="E96" s="115">
        <v>3.0</v>
      </c>
      <c r="F96" s="127">
        <v>44846.0</v>
      </c>
      <c r="G96" s="115"/>
      <c r="H96" s="126" t="s">
        <v>30</v>
      </c>
      <c r="I96" s="115">
        <v>8.0</v>
      </c>
      <c r="J96" s="126" t="s">
        <v>34</v>
      </c>
      <c r="K96" s="115" t="s">
        <v>82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38"/>
      <c r="C97" s="101" t="s">
        <v>83</v>
      </c>
      <c r="D97" s="123">
        <v>1.0</v>
      </c>
      <c r="E97" s="123">
        <v>3.0</v>
      </c>
      <c r="F97" s="124">
        <v>44846.0</v>
      </c>
      <c r="G97" s="101"/>
      <c r="H97" s="101" t="s">
        <v>30</v>
      </c>
      <c r="I97" s="123">
        <v>8.0</v>
      </c>
      <c r="J97" s="125" t="s">
        <v>37</v>
      </c>
      <c r="K97" s="101" t="s">
        <v>84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2"/>
      <c r="C98" s="128" t="s">
        <v>85</v>
      </c>
      <c r="D98" s="128">
        <v>0.0</v>
      </c>
      <c r="E98" s="128">
        <v>3.0</v>
      </c>
      <c r="F98" s="136">
        <v>44910.0</v>
      </c>
      <c r="G98" s="128"/>
      <c r="H98" s="130" t="s">
        <v>30</v>
      </c>
      <c r="I98" s="128">
        <v>8.0</v>
      </c>
      <c r="J98" s="130" t="s">
        <v>37</v>
      </c>
      <c r="K98" s="128" t="s">
        <v>86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6.25" customHeight="1">
      <c r="A99" s="1"/>
      <c r="B99" s="131" t="s">
        <v>87</v>
      </c>
      <c r="C99" s="15"/>
      <c r="D99" s="15"/>
      <c r="E99" s="15"/>
      <c r="F99" s="15"/>
      <c r="G99" s="15"/>
      <c r="H99" s="15"/>
      <c r="I99" s="15"/>
      <c r="J99" s="15"/>
      <c r="K99" s="16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30" t="s">
        <v>105</v>
      </c>
      <c r="C100" s="117" t="s">
        <v>11</v>
      </c>
      <c r="D100" s="117" t="s">
        <v>12</v>
      </c>
      <c r="E100" s="117" t="s">
        <v>13</v>
      </c>
      <c r="F100" s="118" t="s">
        <v>14</v>
      </c>
      <c r="G100" s="31" t="s">
        <v>15</v>
      </c>
      <c r="H100" s="118" t="s">
        <v>16</v>
      </c>
      <c r="I100" s="118" t="s">
        <v>17</v>
      </c>
      <c r="J100" s="118" t="s">
        <v>18</v>
      </c>
      <c r="K100" s="119" t="s">
        <v>19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9" t="s">
        <v>20</v>
      </c>
      <c r="C101" s="120" t="s">
        <v>21</v>
      </c>
      <c r="D101" s="121">
        <v>4.0</v>
      </c>
      <c r="E101" s="121">
        <v>1.0</v>
      </c>
      <c r="F101" s="120">
        <v>1.0</v>
      </c>
      <c r="G101" s="120" t="str">
        <f>IF(D4="kg",MROUND(E8*0.875,2.5)&amp;"-"&amp;MROUND(E8*0.9,2.5),MROUND(E8*0.875,5)&amp;"-"&amp;MROUND(E8*0.9,5))</f>
        <v>272.5-280</v>
      </c>
      <c r="H101" s="120" t="s">
        <v>78</v>
      </c>
      <c r="I101" s="120" t="s">
        <v>101</v>
      </c>
      <c r="J101" s="122" t="s">
        <v>24</v>
      </c>
      <c r="K101" s="120" t="s">
        <v>25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8"/>
      <c r="C102" s="115" t="s">
        <v>26</v>
      </c>
      <c r="D102" s="108">
        <v>0.0</v>
      </c>
      <c r="E102" s="108">
        <v>2.0</v>
      </c>
      <c r="F102" s="115">
        <v>4.0</v>
      </c>
      <c r="G102" s="115" t="str">
        <f>IF(D4="kg",MROUND(E8*0.775,2.5)&amp;"-"&amp;MROUND(E8*0.8,2.5),MROUND(E8*0.775,5)&amp;"-"&amp;MROUND(E8*0.8,5))</f>
        <v>240-247.5</v>
      </c>
      <c r="H102" s="115" t="s">
        <v>102</v>
      </c>
      <c r="I102" s="127">
        <v>44750.0</v>
      </c>
      <c r="J102" s="126" t="s">
        <v>24</v>
      </c>
      <c r="K102" s="115" t="s">
        <v>28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38"/>
      <c r="C103" s="101" t="s">
        <v>89</v>
      </c>
      <c r="D103" s="123">
        <v>3.0</v>
      </c>
      <c r="E103" s="123">
        <v>3.0</v>
      </c>
      <c r="F103" s="101">
        <v>8.0</v>
      </c>
      <c r="G103" s="101" t="str">
        <f>IF(D4="kg",MROUND(F8*0.7,2.5)&amp;"-"&amp;MROUND(F8*0.75,2.5),MROUND(F8*0.7,5)&amp;"-"&amp;MROUND(F8*0.75,5))</f>
        <v>185-200</v>
      </c>
      <c r="H103" s="101" t="s">
        <v>90</v>
      </c>
      <c r="I103" s="123">
        <v>6.0</v>
      </c>
      <c r="J103" s="125" t="s">
        <v>31</v>
      </c>
      <c r="K103" s="101" t="s">
        <v>91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38"/>
      <c r="C104" s="115" t="s">
        <v>33</v>
      </c>
      <c r="D104" s="108">
        <v>2.0</v>
      </c>
      <c r="E104" s="108">
        <v>2.0</v>
      </c>
      <c r="F104" s="127">
        <v>44783.0</v>
      </c>
      <c r="G104" s="108"/>
      <c r="H104" s="108" t="s">
        <v>30</v>
      </c>
      <c r="I104" s="115">
        <v>6.0</v>
      </c>
      <c r="J104" s="108" t="s">
        <v>34</v>
      </c>
      <c r="K104" s="115" t="s">
        <v>35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38"/>
      <c r="C105" s="101" t="s">
        <v>36</v>
      </c>
      <c r="D105" s="123">
        <v>1.0</v>
      </c>
      <c r="E105" s="123">
        <v>4.0</v>
      </c>
      <c r="F105" s="124">
        <v>44783.0</v>
      </c>
      <c r="G105" s="101"/>
      <c r="H105" s="123" t="s">
        <v>30</v>
      </c>
      <c r="I105" s="101">
        <v>8.0</v>
      </c>
      <c r="J105" s="125" t="s">
        <v>37</v>
      </c>
      <c r="K105" s="101" t="s">
        <v>38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38"/>
      <c r="C106" s="115" t="s">
        <v>39</v>
      </c>
      <c r="D106" s="108">
        <v>0.0</v>
      </c>
      <c r="E106" s="108">
        <v>4.0</v>
      </c>
      <c r="F106" s="115" t="s">
        <v>40</v>
      </c>
      <c r="G106" s="115"/>
      <c r="H106" s="115" t="s">
        <v>30</v>
      </c>
      <c r="I106" s="108">
        <v>9.0</v>
      </c>
      <c r="J106" s="126" t="s">
        <v>37</v>
      </c>
      <c r="K106" s="115" t="s">
        <v>41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2"/>
      <c r="C107" s="105" t="s">
        <v>42</v>
      </c>
      <c r="D107" s="105">
        <v>0.0</v>
      </c>
      <c r="E107" s="105">
        <v>3.0</v>
      </c>
      <c r="F107" s="105">
        <v>6.0</v>
      </c>
      <c r="G107" s="105"/>
      <c r="H107" s="137" t="s">
        <v>30</v>
      </c>
      <c r="I107" s="105">
        <v>8.0</v>
      </c>
      <c r="J107" s="138" t="s">
        <v>37</v>
      </c>
      <c r="K107" s="105" t="s">
        <v>43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9" t="s">
        <v>44</v>
      </c>
      <c r="C108" s="115" t="s">
        <v>45</v>
      </c>
      <c r="D108" s="115">
        <v>4.0</v>
      </c>
      <c r="E108" s="115">
        <v>1.0</v>
      </c>
      <c r="F108" s="115">
        <v>6.0</v>
      </c>
      <c r="G108" s="115">
        <f>IF(D4="kg",MROUND(F8*0.8,2.5),MROUND(F8*0.8,5))</f>
        <v>212.5</v>
      </c>
      <c r="H108" s="126" t="s">
        <v>106</v>
      </c>
      <c r="I108" s="127">
        <v>44750.0</v>
      </c>
      <c r="J108" s="126" t="s">
        <v>24</v>
      </c>
      <c r="K108" s="115" t="s">
        <v>47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38"/>
      <c r="C109" s="101" t="s">
        <v>93</v>
      </c>
      <c r="D109" s="123">
        <v>3.0</v>
      </c>
      <c r="E109" s="123">
        <v>3.0</v>
      </c>
      <c r="F109" s="101">
        <v>8.0</v>
      </c>
      <c r="G109" s="101"/>
      <c r="H109" s="123" t="s">
        <v>30</v>
      </c>
      <c r="I109" s="123">
        <v>6.0</v>
      </c>
      <c r="J109" s="125" t="s">
        <v>31</v>
      </c>
      <c r="K109" s="101" t="s">
        <v>94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38"/>
      <c r="C110" s="115" t="s">
        <v>50</v>
      </c>
      <c r="D110" s="108">
        <v>1.0</v>
      </c>
      <c r="E110" s="108">
        <v>4.0</v>
      </c>
      <c r="F110" s="127">
        <v>44720.0</v>
      </c>
      <c r="G110" s="108"/>
      <c r="H110" s="108" t="s">
        <v>30</v>
      </c>
      <c r="I110" s="115">
        <v>9.0</v>
      </c>
      <c r="J110" s="108" t="s">
        <v>34</v>
      </c>
      <c r="K110" s="115" t="s">
        <v>51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38"/>
      <c r="C111" s="101" t="s">
        <v>52</v>
      </c>
      <c r="D111" s="123">
        <v>1.0</v>
      </c>
      <c r="E111" s="123">
        <v>3.0</v>
      </c>
      <c r="F111" s="124">
        <v>44783.0</v>
      </c>
      <c r="G111" s="101"/>
      <c r="H111" s="101" t="s">
        <v>30</v>
      </c>
      <c r="I111" s="123">
        <v>10.0</v>
      </c>
      <c r="J111" s="125" t="s">
        <v>37</v>
      </c>
      <c r="K111" s="101" t="s">
        <v>53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38"/>
      <c r="C112" s="115" t="s">
        <v>54</v>
      </c>
      <c r="D112" s="108">
        <v>1.0</v>
      </c>
      <c r="E112" s="108">
        <v>4.0</v>
      </c>
      <c r="F112" s="127">
        <v>44720.0</v>
      </c>
      <c r="G112" s="115"/>
      <c r="H112" s="115" t="s">
        <v>30</v>
      </c>
      <c r="I112" s="108">
        <v>10.0</v>
      </c>
      <c r="J112" s="126" t="s">
        <v>37</v>
      </c>
      <c r="K112" s="115" t="s">
        <v>55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2"/>
      <c r="C113" s="105" t="s">
        <v>56</v>
      </c>
      <c r="D113" s="137">
        <v>0.0</v>
      </c>
      <c r="E113" s="137">
        <v>3.0</v>
      </c>
      <c r="F113" s="105" t="s">
        <v>40</v>
      </c>
      <c r="G113" s="105"/>
      <c r="H113" s="138" t="s">
        <v>30</v>
      </c>
      <c r="I113" s="137">
        <v>9.0</v>
      </c>
      <c r="J113" s="138" t="s">
        <v>37</v>
      </c>
      <c r="K113" s="105" t="s">
        <v>57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131" t="s">
        <v>58</v>
      </c>
      <c r="C114" s="15"/>
      <c r="D114" s="15"/>
      <c r="E114" s="15"/>
      <c r="F114" s="15"/>
      <c r="G114" s="15"/>
      <c r="H114" s="15"/>
      <c r="I114" s="15"/>
      <c r="J114" s="15"/>
      <c r="K114" s="16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9" t="s">
        <v>59</v>
      </c>
      <c r="C115" s="120" t="s">
        <v>60</v>
      </c>
      <c r="D115" s="120">
        <v>4.0</v>
      </c>
      <c r="E115" s="120">
        <v>1.0</v>
      </c>
      <c r="F115" s="120">
        <v>1.0</v>
      </c>
      <c r="G115" s="120" t="str">
        <f>IF(D4="kg",MROUND(G8*0.925,2.5)&amp;"-"&amp;MROUND(G8*0.95,2.5),MROUND(G8*0.925,5)&amp;"-"&amp;MROUND(G8*0.95,5))</f>
        <v>417.5-427.5</v>
      </c>
      <c r="H115" s="120" t="s">
        <v>107</v>
      </c>
      <c r="I115" s="132">
        <v>44782.0</v>
      </c>
      <c r="J115" s="122" t="s">
        <v>24</v>
      </c>
      <c r="K115" s="120" t="s">
        <v>61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38"/>
      <c r="C116" s="139" t="s">
        <v>95</v>
      </c>
      <c r="D116" s="140">
        <v>0.0</v>
      </c>
      <c r="E116" s="140">
        <v>2.0</v>
      </c>
      <c r="F116" s="139">
        <v>8.0</v>
      </c>
      <c r="G116" s="139" t="str">
        <f>IF(D4="kg",MROUND(G8*0.65,2.5)&amp;"-"&amp;MROUND(G8*0.75,2.5),MROUND(G8*0.65,5)&amp;"-"&amp;MROUND(G8*0.75,5))</f>
        <v>292.5-337.5</v>
      </c>
      <c r="H116" s="139" t="s">
        <v>108</v>
      </c>
      <c r="I116" s="140">
        <v>7.0</v>
      </c>
      <c r="J116" s="141" t="s">
        <v>31</v>
      </c>
      <c r="K116" s="139" t="s">
        <v>97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38"/>
      <c r="C117" s="139" t="s">
        <v>64</v>
      </c>
      <c r="D117" s="140">
        <v>3.0</v>
      </c>
      <c r="E117" s="140">
        <v>2.0</v>
      </c>
      <c r="F117" s="139">
        <v>8.0</v>
      </c>
      <c r="G117" s="139">
        <f>IF(D4="kg",MROUND(H8*0.7,2.5),MROUND(H8*0.7,5))</f>
        <v>102.5</v>
      </c>
      <c r="H117" s="142">
        <v>0.7</v>
      </c>
      <c r="I117" s="140">
        <v>6.0</v>
      </c>
      <c r="J117" s="141" t="s">
        <v>34</v>
      </c>
      <c r="K117" s="139" t="s">
        <v>41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38"/>
      <c r="C118" s="139" t="s">
        <v>65</v>
      </c>
      <c r="D118" s="140">
        <v>1.0</v>
      </c>
      <c r="E118" s="140">
        <v>4.0</v>
      </c>
      <c r="F118" s="139" t="s">
        <v>40</v>
      </c>
      <c r="G118" s="139"/>
      <c r="H118" s="141" t="s">
        <v>30</v>
      </c>
      <c r="I118" s="140">
        <v>9.0</v>
      </c>
      <c r="J118" s="141" t="s">
        <v>37</v>
      </c>
      <c r="K118" s="139" t="s">
        <v>66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38"/>
      <c r="C119" s="139" t="s">
        <v>67</v>
      </c>
      <c r="D119" s="140">
        <v>1.0</v>
      </c>
      <c r="E119" s="140">
        <v>3.0</v>
      </c>
      <c r="F119" s="139" t="s">
        <v>40</v>
      </c>
      <c r="G119" s="140"/>
      <c r="H119" s="141" t="s">
        <v>30</v>
      </c>
      <c r="I119" s="141" t="s">
        <v>68</v>
      </c>
      <c r="J119" s="141" t="s">
        <v>37</v>
      </c>
      <c r="K119" s="139" t="s">
        <v>69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8"/>
      <c r="C120" s="139" t="s">
        <v>70</v>
      </c>
      <c r="D120" s="139">
        <v>1.0</v>
      </c>
      <c r="E120" s="139">
        <v>4.0</v>
      </c>
      <c r="F120" s="143">
        <v>44783.0</v>
      </c>
      <c r="G120" s="139"/>
      <c r="H120" s="140" t="s">
        <v>30</v>
      </c>
      <c r="I120" s="139">
        <v>9.0</v>
      </c>
      <c r="J120" s="141" t="s">
        <v>37</v>
      </c>
      <c r="K120" s="139" t="s">
        <v>71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2"/>
      <c r="C121" s="144" t="s">
        <v>72</v>
      </c>
      <c r="D121" s="145">
        <v>1.0</v>
      </c>
      <c r="E121" s="145">
        <v>3.0</v>
      </c>
      <c r="F121" s="146">
        <v>44846.0</v>
      </c>
      <c r="G121" s="145"/>
      <c r="H121" s="147" t="s">
        <v>30</v>
      </c>
      <c r="I121" s="147" t="s">
        <v>73</v>
      </c>
      <c r="J121" s="147" t="s">
        <v>37</v>
      </c>
      <c r="K121" s="144" t="s">
        <v>74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9" t="s">
        <v>75</v>
      </c>
      <c r="C122" s="139" t="s">
        <v>26</v>
      </c>
      <c r="D122" s="139">
        <v>4.0</v>
      </c>
      <c r="E122" s="139">
        <v>2.0</v>
      </c>
      <c r="F122" s="139">
        <v>6.0</v>
      </c>
      <c r="G122" s="139">
        <f>IF(D4="kg",MROUND(E8*0.775,2.5),MROUND(E8*0.775,5))</f>
        <v>240</v>
      </c>
      <c r="H122" s="141" t="s">
        <v>103</v>
      </c>
      <c r="I122" s="143">
        <v>44750.0</v>
      </c>
      <c r="J122" s="141" t="s">
        <v>24</v>
      </c>
      <c r="K122" s="139" t="s">
        <v>28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38"/>
      <c r="C123" s="120" t="s">
        <v>77</v>
      </c>
      <c r="D123" s="120">
        <v>4.0</v>
      </c>
      <c r="E123" s="120">
        <v>1.0</v>
      </c>
      <c r="F123" s="120">
        <v>1.0</v>
      </c>
      <c r="G123" s="120" t="str">
        <f>IF(D4="kg",MROUND(F8*0.9,2.5)&amp;"-"&amp;MROUND(F8*0.95,2.5),MROUND(F8*0.9,5)&amp;"-"&amp;MROUND(F8*0.95,5))</f>
        <v>237.5-252.5</v>
      </c>
      <c r="H123" s="120" t="s">
        <v>109</v>
      </c>
      <c r="I123" s="121" t="s">
        <v>101</v>
      </c>
      <c r="J123" s="122" t="s">
        <v>24</v>
      </c>
      <c r="K123" s="120" t="s">
        <v>98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38"/>
      <c r="C124" s="139" t="s">
        <v>45</v>
      </c>
      <c r="D124" s="139">
        <v>0.0</v>
      </c>
      <c r="E124" s="139">
        <v>3.0</v>
      </c>
      <c r="F124" s="139">
        <v>2.0</v>
      </c>
      <c r="G124" s="139" t="str">
        <f>IF(D4="kg",MROUND(F8*0.85,2.5)&amp;"-"&amp;MROUND(F8*0.9,2.5),MROUND(F8*0.85,5)&amp;"-"&amp;MROUND(F8*0.9,5))</f>
        <v>225-237.5</v>
      </c>
      <c r="H124" s="139" t="s">
        <v>110</v>
      </c>
      <c r="I124" s="143">
        <v>44750.0</v>
      </c>
      <c r="J124" s="141" t="s">
        <v>24</v>
      </c>
      <c r="K124" s="139" t="s">
        <v>47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38"/>
      <c r="C125" s="139" t="s">
        <v>81</v>
      </c>
      <c r="D125" s="139">
        <v>1.0</v>
      </c>
      <c r="E125" s="139">
        <v>3.0</v>
      </c>
      <c r="F125" s="143">
        <v>44846.0</v>
      </c>
      <c r="G125" s="139"/>
      <c r="H125" s="141" t="s">
        <v>30</v>
      </c>
      <c r="I125" s="139">
        <v>8.0</v>
      </c>
      <c r="J125" s="141" t="s">
        <v>34</v>
      </c>
      <c r="K125" s="139" t="s">
        <v>82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38"/>
      <c r="C126" s="139" t="s">
        <v>83</v>
      </c>
      <c r="D126" s="140">
        <v>1.0</v>
      </c>
      <c r="E126" s="140">
        <v>3.0</v>
      </c>
      <c r="F126" s="143">
        <v>44846.0</v>
      </c>
      <c r="G126" s="139"/>
      <c r="H126" s="139" t="s">
        <v>30</v>
      </c>
      <c r="I126" s="140">
        <v>8.0</v>
      </c>
      <c r="J126" s="141" t="s">
        <v>37</v>
      </c>
      <c r="K126" s="139" t="s">
        <v>84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2"/>
      <c r="C127" s="144" t="s">
        <v>85</v>
      </c>
      <c r="D127" s="144">
        <v>0.0</v>
      </c>
      <c r="E127" s="144">
        <v>3.0</v>
      </c>
      <c r="F127" s="146">
        <v>44910.0</v>
      </c>
      <c r="G127" s="144"/>
      <c r="H127" s="147" t="s">
        <v>30</v>
      </c>
      <c r="I127" s="144">
        <v>8.0</v>
      </c>
      <c r="J127" s="147" t="s">
        <v>37</v>
      </c>
      <c r="K127" s="144" t="s">
        <v>86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6.25" customHeight="1">
      <c r="A128" s="1"/>
      <c r="B128" s="131" t="s">
        <v>87</v>
      </c>
      <c r="C128" s="15"/>
      <c r="D128" s="15"/>
      <c r="E128" s="15"/>
      <c r="F128" s="15"/>
      <c r="G128" s="15"/>
      <c r="H128" s="15"/>
      <c r="I128" s="15"/>
      <c r="J128" s="15"/>
      <c r="K128" s="16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6.25" customHeight="1">
      <c r="A129" s="1"/>
      <c r="B129" s="148" t="s">
        <v>111</v>
      </c>
      <c r="C129" s="64"/>
      <c r="D129" s="64"/>
      <c r="E129" s="64"/>
      <c r="F129" s="64"/>
      <c r="G129" s="64"/>
      <c r="H129" s="64"/>
      <c r="I129" s="64"/>
      <c r="J129" s="64"/>
      <c r="K129" s="14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30" t="s">
        <v>112</v>
      </c>
      <c r="C130" s="117" t="s">
        <v>11</v>
      </c>
      <c r="D130" s="117" t="s">
        <v>12</v>
      </c>
      <c r="E130" s="117" t="s">
        <v>13</v>
      </c>
      <c r="F130" s="118" t="s">
        <v>14</v>
      </c>
      <c r="G130" s="31" t="s">
        <v>15</v>
      </c>
      <c r="H130" s="118" t="s">
        <v>16</v>
      </c>
      <c r="I130" s="118" t="s">
        <v>17</v>
      </c>
      <c r="J130" s="118" t="s">
        <v>18</v>
      </c>
      <c r="K130" s="119" t="s">
        <v>19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9" t="s">
        <v>20</v>
      </c>
      <c r="C131" s="101" t="s">
        <v>26</v>
      </c>
      <c r="D131" s="123">
        <v>4.0</v>
      </c>
      <c r="E131" s="123">
        <v>2.0</v>
      </c>
      <c r="F131" s="101">
        <v>5.0</v>
      </c>
      <c r="G131" s="101" t="str">
        <f>IF(D4="kg",MROUND(E8*0.75,2.5)&amp;"-"&amp;MROUND(E8*0.775,2.5),MROUND(E8*0.75,5)&amp;"-"&amp;MROUND(E8*0.775,5))</f>
        <v>232.5-240</v>
      </c>
      <c r="H131" s="101" t="s">
        <v>27</v>
      </c>
      <c r="I131" s="101" t="s">
        <v>113</v>
      </c>
      <c r="J131" s="125" t="s">
        <v>24</v>
      </c>
      <c r="K131" s="101" t="s">
        <v>28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38"/>
      <c r="C132" s="115" t="s">
        <v>29</v>
      </c>
      <c r="D132" s="108">
        <v>3.0</v>
      </c>
      <c r="E132" s="108">
        <v>2.0</v>
      </c>
      <c r="F132" s="115">
        <v>8.0</v>
      </c>
      <c r="G132" s="115"/>
      <c r="H132" s="115" t="s">
        <v>30</v>
      </c>
      <c r="I132" s="108">
        <v>6.0</v>
      </c>
      <c r="J132" s="126" t="s">
        <v>31</v>
      </c>
      <c r="K132" s="115" t="s">
        <v>32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38"/>
      <c r="C133" s="101" t="s">
        <v>33</v>
      </c>
      <c r="D133" s="123">
        <v>2.0</v>
      </c>
      <c r="E133" s="123">
        <v>2.0</v>
      </c>
      <c r="F133" s="124">
        <v>44783.0</v>
      </c>
      <c r="G133" s="123"/>
      <c r="H133" s="123" t="s">
        <v>30</v>
      </c>
      <c r="I133" s="101">
        <v>6.0</v>
      </c>
      <c r="J133" s="123" t="s">
        <v>34</v>
      </c>
      <c r="K133" s="101" t="s">
        <v>35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38"/>
      <c r="C134" s="115" t="s">
        <v>36</v>
      </c>
      <c r="D134" s="108">
        <v>1.0</v>
      </c>
      <c r="E134" s="108">
        <v>3.0</v>
      </c>
      <c r="F134" s="127">
        <v>44783.0</v>
      </c>
      <c r="G134" s="115"/>
      <c r="H134" s="108" t="s">
        <v>30</v>
      </c>
      <c r="I134" s="115">
        <v>8.0</v>
      </c>
      <c r="J134" s="126" t="s">
        <v>37</v>
      </c>
      <c r="K134" s="115" t="s">
        <v>38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38"/>
      <c r="C135" s="101" t="s">
        <v>39</v>
      </c>
      <c r="D135" s="123">
        <v>0.0</v>
      </c>
      <c r="E135" s="123">
        <v>3.0</v>
      </c>
      <c r="F135" s="101" t="s">
        <v>40</v>
      </c>
      <c r="G135" s="101"/>
      <c r="H135" s="101" t="s">
        <v>30</v>
      </c>
      <c r="I135" s="123">
        <v>9.0</v>
      </c>
      <c r="J135" s="125" t="s">
        <v>37</v>
      </c>
      <c r="K135" s="101" t="s">
        <v>41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2"/>
      <c r="C136" s="128" t="s">
        <v>42</v>
      </c>
      <c r="D136" s="128">
        <v>0.0</v>
      </c>
      <c r="E136" s="128">
        <v>3.0</v>
      </c>
      <c r="F136" s="128">
        <v>6.0</v>
      </c>
      <c r="G136" s="128"/>
      <c r="H136" s="129" t="s">
        <v>30</v>
      </c>
      <c r="I136" s="128">
        <v>8.0</v>
      </c>
      <c r="J136" s="130" t="s">
        <v>37</v>
      </c>
      <c r="K136" s="128" t="s">
        <v>43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9" t="s">
        <v>44</v>
      </c>
      <c r="C137" s="101" t="s">
        <v>45</v>
      </c>
      <c r="D137" s="101">
        <v>4.0</v>
      </c>
      <c r="E137" s="101">
        <v>2.0</v>
      </c>
      <c r="F137" s="101">
        <v>6.0</v>
      </c>
      <c r="G137" s="101">
        <f>IF(D4="kg",MROUND(F8*0.725,2.5),MROUND(F8*0.725,5))</f>
        <v>192.5</v>
      </c>
      <c r="H137" s="125" t="s">
        <v>46</v>
      </c>
      <c r="I137" s="124">
        <v>44750.0</v>
      </c>
      <c r="J137" s="125" t="s">
        <v>24</v>
      </c>
      <c r="K137" s="101" t="s">
        <v>47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38"/>
      <c r="C138" s="115" t="s">
        <v>48</v>
      </c>
      <c r="D138" s="108">
        <v>3.0</v>
      </c>
      <c r="E138" s="108">
        <v>2.0</v>
      </c>
      <c r="F138" s="115">
        <v>6.0</v>
      </c>
      <c r="G138" s="115"/>
      <c r="H138" s="108" t="s">
        <v>30</v>
      </c>
      <c r="I138" s="108">
        <v>6.0</v>
      </c>
      <c r="J138" s="126" t="s">
        <v>31</v>
      </c>
      <c r="K138" s="115" t="s">
        <v>49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38"/>
      <c r="C139" s="101" t="s">
        <v>50</v>
      </c>
      <c r="D139" s="123">
        <v>1.0</v>
      </c>
      <c r="E139" s="123">
        <v>3.0</v>
      </c>
      <c r="F139" s="124">
        <v>44720.0</v>
      </c>
      <c r="G139" s="123"/>
      <c r="H139" s="123" t="s">
        <v>30</v>
      </c>
      <c r="I139" s="101">
        <v>9.0</v>
      </c>
      <c r="J139" s="123" t="s">
        <v>34</v>
      </c>
      <c r="K139" s="101" t="s">
        <v>51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38"/>
      <c r="C140" s="115" t="s">
        <v>52</v>
      </c>
      <c r="D140" s="108">
        <v>1.0</v>
      </c>
      <c r="E140" s="108">
        <v>3.0</v>
      </c>
      <c r="F140" s="127">
        <v>44783.0</v>
      </c>
      <c r="G140" s="115"/>
      <c r="H140" s="115" t="s">
        <v>30</v>
      </c>
      <c r="I140" s="108">
        <v>9.0</v>
      </c>
      <c r="J140" s="126" t="s">
        <v>37</v>
      </c>
      <c r="K140" s="115" t="s">
        <v>53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38"/>
      <c r="C141" s="101" t="s">
        <v>54</v>
      </c>
      <c r="D141" s="123">
        <v>1.0</v>
      </c>
      <c r="E141" s="123">
        <v>3.0</v>
      </c>
      <c r="F141" s="124">
        <v>44720.0</v>
      </c>
      <c r="G141" s="101"/>
      <c r="H141" s="101" t="s">
        <v>30</v>
      </c>
      <c r="I141" s="123">
        <v>9.0</v>
      </c>
      <c r="J141" s="125" t="s">
        <v>37</v>
      </c>
      <c r="K141" s="101" t="s">
        <v>55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2"/>
      <c r="C142" s="128" t="s">
        <v>56</v>
      </c>
      <c r="D142" s="129">
        <v>0.0</v>
      </c>
      <c r="E142" s="129">
        <v>3.0</v>
      </c>
      <c r="F142" s="128" t="s">
        <v>40</v>
      </c>
      <c r="G142" s="128"/>
      <c r="H142" s="130" t="s">
        <v>30</v>
      </c>
      <c r="I142" s="129">
        <v>9.0</v>
      </c>
      <c r="J142" s="130" t="s">
        <v>37</v>
      </c>
      <c r="K142" s="128" t="s">
        <v>57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6.25" customHeight="1">
      <c r="A143" s="1"/>
      <c r="B143" s="131" t="s">
        <v>58</v>
      </c>
      <c r="C143" s="15"/>
      <c r="D143" s="15"/>
      <c r="E143" s="15"/>
      <c r="F143" s="15"/>
      <c r="G143" s="15"/>
      <c r="H143" s="15"/>
      <c r="I143" s="15"/>
      <c r="J143" s="15"/>
      <c r="K143" s="16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9" t="s">
        <v>59</v>
      </c>
      <c r="C144" s="139" t="s">
        <v>60</v>
      </c>
      <c r="D144" s="139">
        <v>4.0</v>
      </c>
      <c r="E144" s="139">
        <v>1.0</v>
      </c>
      <c r="F144" s="139">
        <v>3.0</v>
      </c>
      <c r="G144" s="139">
        <f>IF(D4="kg",MROUND(G8*0.85,2.5),MROUND(G8*0.85,5))</f>
        <v>382.5</v>
      </c>
      <c r="H144" s="142">
        <v>0.85</v>
      </c>
      <c r="I144" s="143">
        <v>44750.0</v>
      </c>
      <c r="J144" s="141" t="s">
        <v>24</v>
      </c>
      <c r="K144" s="139" t="s">
        <v>61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38"/>
      <c r="C145" s="139" t="s">
        <v>62</v>
      </c>
      <c r="D145" s="140">
        <v>0.0</v>
      </c>
      <c r="E145" s="140">
        <v>2.0</v>
      </c>
      <c r="F145" s="139">
        <v>4.0</v>
      </c>
      <c r="G145" s="139">
        <f>IF(D4="kg",MROUND(G8*0.675,2.5),MROUND(G8*0.675,5))</f>
        <v>305</v>
      </c>
      <c r="H145" s="150">
        <v>0.675</v>
      </c>
      <c r="I145" s="140">
        <v>7.0</v>
      </c>
      <c r="J145" s="141" t="s">
        <v>31</v>
      </c>
      <c r="K145" s="139" t="s">
        <v>63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38"/>
      <c r="C146" s="139" t="s">
        <v>64</v>
      </c>
      <c r="D146" s="140">
        <v>3.0</v>
      </c>
      <c r="E146" s="140">
        <v>2.0</v>
      </c>
      <c r="F146" s="139">
        <v>8.0</v>
      </c>
      <c r="G146" s="139">
        <f>IF(D4="kg",MROUND(H8*0.7,2.5),MROUND(H8*0.7,5))</f>
        <v>102.5</v>
      </c>
      <c r="H146" s="142">
        <v>0.7</v>
      </c>
      <c r="I146" s="140">
        <v>6.0</v>
      </c>
      <c r="J146" s="141" t="s">
        <v>34</v>
      </c>
      <c r="K146" s="139" t="s">
        <v>41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38"/>
      <c r="C147" s="139" t="s">
        <v>65</v>
      </c>
      <c r="D147" s="140">
        <v>1.0</v>
      </c>
      <c r="E147" s="140">
        <v>3.0</v>
      </c>
      <c r="F147" s="139" t="s">
        <v>40</v>
      </c>
      <c r="G147" s="139"/>
      <c r="H147" s="141" t="s">
        <v>30</v>
      </c>
      <c r="I147" s="140">
        <v>9.0</v>
      </c>
      <c r="J147" s="141" t="s">
        <v>37</v>
      </c>
      <c r="K147" s="139" t="s">
        <v>66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38"/>
      <c r="C148" s="139" t="s">
        <v>67</v>
      </c>
      <c r="D148" s="140">
        <v>1.0</v>
      </c>
      <c r="E148" s="140">
        <v>3.0</v>
      </c>
      <c r="F148" s="139" t="s">
        <v>40</v>
      </c>
      <c r="G148" s="140"/>
      <c r="H148" s="141" t="s">
        <v>30</v>
      </c>
      <c r="I148" s="141" t="s">
        <v>68</v>
      </c>
      <c r="J148" s="141" t="s">
        <v>37</v>
      </c>
      <c r="K148" s="139" t="s">
        <v>69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38"/>
      <c r="C149" s="139" t="s">
        <v>70</v>
      </c>
      <c r="D149" s="139">
        <v>1.0</v>
      </c>
      <c r="E149" s="139">
        <v>3.0</v>
      </c>
      <c r="F149" s="143">
        <v>44783.0</v>
      </c>
      <c r="G149" s="139"/>
      <c r="H149" s="140" t="s">
        <v>30</v>
      </c>
      <c r="I149" s="139">
        <v>9.0</v>
      </c>
      <c r="J149" s="141" t="s">
        <v>37</v>
      </c>
      <c r="K149" s="139" t="s">
        <v>71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2"/>
      <c r="C150" s="144" t="s">
        <v>72</v>
      </c>
      <c r="D150" s="145">
        <v>1.0</v>
      </c>
      <c r="E150" s="145">
        <v>3.0</v>
      </c>
      <c r="F150" s="146">
        <v>44846.0</v>
      </c>
      <c r="G150" s="145"/>
      <c r="H150" s="147" t="s">
        <v>30</v>
      </c>
      <c r="I150" s="147" t="s">
        <v>114</v>
      </c>
      <c r="J150" s="147" t="s">
        <v>37</v>
      </c>
      <c r="K150" s="144" t="s">
        <v>74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9" t="s">
        <v>75</v>
      </c>
      <c r="C151" s="139" t="s">
        <v>26</v>
      </c>
      <c r="D151" s="139">
        <v>4.0</v>
      </c>
      <c r="E151" s="139">
        <v>2.0</v>
      </c>
      <c r="F151" s="139">
        <v>6.0</v>
      </c>
      <c r="G151" s="139">
        <f>IF(D4="kg",MROUND(E8*0.7,2.5),MROUND(E8*0.7,5))</f>
        <v>217.5</v>
      </c>
      <c r="H151" s="141" t="s">
        <v>76</v>
      </c>
      <c r="I151" s="143">
        <v>44750.0</v>
      </c>
      <c r="J151" s="141" t="s">
        <v>24</v>
      </c>
      <c r="K151" s="139" t="s">
        <v>28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38"/>
      <c r="C152" s="139" t="s">
        <v>45</v>
      </c>
      <c r="D152" s="139">
        <v>4.0</v>
      </c>
      <c r="E152" s="139">
        <v>3.0</v>
      </c>
      <c r="F152" s="139">
        <v>3.0</v>
      </c>
      <c r="G152" s="139">
        <f>IF(D4="kg",MROUND(F8*0.85,2.5),MROUND(F8*0.85,5))</f>
        <v>225</v>
      </c>
      <c r="H152" s="142">
        <v>0.85</v>
      </c>
      <c r="I152" s="143">
        <v>44750.0</v>
      </c>
      <c r="J152" s="141" t="s">
        <v>24</v>
      </c>
      <c r="K152" s="139" t="s">
        <v>47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38"/>
      <c r="C153" s="139" t="s">
        <v>81</v>
      </c>
      <c r="D153" s="139">
        <v>1.0</v>
      </c>
      <c r="E153" s="139">
        <v>3.0</v>
      </c>
      <c r="F153" s="143">
        <v>44846.0</v>
      </c>
      <c r="G153" s="139"/>
      <c r="H153" s="141" t="s">
        <v>30</v>
      </c>
      <c r="I153" s="139">
        <v>8.0</v>
      </c>
      <c r="J153" s="141" t="s">
        <v>34</v>
      </c>
      <c r="K153" s="139" t="s">
        <v>82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38"/>
      <c r="C154" s="139" t="s">
        <v>83</v>
      </c>
      <c r="D154" s="140">
        <v>1.0</v>
      </c>
      <c r="E154" s="140">
        <v>3.0</v>
      </c>
      <c r="F154" s="143">
        <v>44846.0</v>
      </c>
      <c r="G154" s="139"/>
      <c r="H154" s="139" t="s">
        <v>30</v>
      </c>
      <c r="I154" s="140">
        <v>8.0</v>
      </c>
      <c r="J154" s="141" t="s">
        <v>37</v>
      </c>
      <c r="K154" s="139" t="s">
        <v>84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2"/>
      <c r="C155" s="144" t="s">
        <v>85</v>
      </c>
      <c r="D155" s="144">
        <v>0.0</v>
      </c>
      <c r="E155" s="144">
        <v>3.0</v>
      </c>
      <c r="F155" s="146">
        <v>44910.0</v>
      </c>
      <c r="G155" s="144"/>
      <c r="H155" s="147" t="s">
        <v>30</v>
      </c>
      <c r="I155" s="144">
        <v>8.0</v>
      </c>
      <c r="J155" s="147" t="s">
        <v>37</v>
      </c>
      <c r="K155" s="144" t="s">
        <v>86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6.25" customHeight="1">
      <c r="A156" s="1"/>
      <c r="B156" s="131" t="s">
        <v>87</v>
      </c>
      <c r="C156" s="15"/>
      <c r="D156" s="15"/>
      <c r="E156" s="15"/>
      <c r="F156" s="15"/>
      <c r="G156" s="15"/>
      <c r="H156" s="15"/>
      <c r="I156" s="15"/>
      <c r="J156" s="15"/>
      <c r="K156" s="1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30" t="s">
        <v>115</v>
      </c>
      <c r="C157" s="117" t="s">
        <v>11</v>
      </c>
      <c r="D157" s="117" t="s">
        <v>12</v>
      </c>
      <c r="E157" s="117" t="s">
        <v>13</v>
      </c>
      <c r="F157" s="118" t="s">
        <v>14</v>
      </c>
      <c r="G157" s="31" t="s">
        <v>15</v>
      </c>
      <c r="H157" s="118" t="s">
        <v>16</v>
      </c>
      <c r="I157" s="118" t="s">
        <v>17</v>
      </c>
      <c r="J157" s="118" t="s">
        <v>18</v>
      </c>
      <c r="K157" s="119" t="s">
        <v>19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9" t="s">
        <v>20</v>
      </c>
      <c r="C158" s="120" t="s">
        <v>21</v>
      </c>
      <c r="D158" s="121">
        <v>4.0</v>
      </c>
      <c r="E158" s="121">
        <v>1.0</v>
      </c>
      <c r="F158" s="120">
        <v>1.0</v>
      </c>
      <c r="G158" s="120" t="str">
        <f>IF(D4="kg",MROUND(E8*0.875,2.5)&amp;"-"&amp;MROUND(E8*0.9,2.5),MROUND(E8*0.875,5)&amp;"-"&amp;MROUND(E8*0.9,5))</f>
        <v>272.5-280</v>
      </c>
      <c r="H158" s="120" t="s">
        <v>78</v>
      </c>
      <c r="I158" s="120" t="s">
        <v>101</v>
      </c>
      <c r="J158" s="122" t="s">
        <v>24</v>
      </c>
      <c r="K158" s="120" t="s">
        <v>25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38"/>
      <c r="C159" s="139" t="s">
        <v>26</v>
      </c>
      <c r="D159" s="140">
        <v>0.0</v>
      </c>
      <c r="E159" s="140">
        <v>3.0</v>
      </c>
      <c r="F159" s="139">
        <v>3.0</v>
      </c>
      <c r="G159" s="139" t="str">
        <f>IF(D4="kg",MROUND(E8*0.8,2.5)&amp;"-"&amp;MROUND(E8*0.85,2.5),MROUND(E8*0.8,5)&amp;"-"&amp;MROUND(E8*0.85,5))</f>
        <v>247.5-262.5</v>
      </c>
      <c r="H159" s="139" t="s">
        <v>116</v>
      </c>
      <c r="I159" s="143">
        <v>44782.0</v>
      </c>
      <c r="J159" s="141" t="s">
        <v>24</v>
      </c>
      <c r="K159" s="139" t="s">
        <v>28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38"/>
      <c r="C160" s="139" t="s">
        <v>89</v>
      </c>
      <c r="D160" s="140">
        <v>3.0</v>
      </c>
      <c r="E160" s="140">
        <v>2.0</v>
      </c>
      <c r="F160" s="139">
        <v>8.0</v>
      </c>
      <c r="G160" s="139" t="str">
        <f>IF(D4="kg",MROUND(F8*0.7,2.5)&amp;"-"&amp;MROUND(F8*0.8,2.5),MROUND(F8*0.7,5)&amp;"-"&amp;MROUND(F8*0.8,5))</f>
        <v>185-212.5</v>
      </c>
      <c r="H160" s="139" t="s">
        <v>117</v>
      </c>
      <c r="I160" s="140">
        <v>6.0</v>
      </c>
      <c r="J160" s="141" t="s">
        <v>31</v>
      </c>
      <c r="K160" s="139" t="s">
        <v>91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38"/>
      <c r="C161" s="139" t="s">
        <v>33</v>
      </c>
      <c r="D161" s="140">
        <v>2.0</v>
      </c>
      <c r="E161" s="140">
        <v>2.0</v>
      </c>
      <c r="F161" s="143">
        <v>44783.0</v>
      </c>
      <c r="G161" s="140"/>
      <c r="H161" s="140" t="s">
        <v>30</v>
      </c>
      <c r="I161" s="139">
        <v>6.0</v>
      </c>
      <c r="J161" s="140" t="s">
        <v>34</v>
      </c>
      <c r="K161" s="139" t="s">
        <v>35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38"/>
      <c r="C162" s="139" t="s">
        <v>36</v>
      </c>
      <c r="D162" s="140">
        <v>1.0</v>
      </c>
      <c r="E162" s="140">
        <v>3.0</v>
      </c>
      <c r="F162" s="143">
        <v>44783.0</v>
      </c>
      <c r="G162" s="139"/>
      <c r="H162" s="140" t="s">
        <v>30</v>
      </c>
      <c r="I162" s="139">
        <v>8.0</v>
      </c>
      <c r="J162" s="141" t="s">
        <v>37</v>
      </c>
      <c r="K162" s="139" t="s">
        <v>38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38"/>
      <c r="C163" s="139" t="s">
        <v>39</v>
      </c>
      <c r="D163" s="140">
        <v>0.0</v>
      </c>
      <c r="E163" s="140">
        <v>3.0</v>
      </c>
      <c r="F163" s="139" t="s">
        <v>40</v>
      </c>
      <c r="G163" s="139"/>
      <c r="H163" s="139" t="s">
        <v>30</v>
      </c>
      <c r="I163" s="140">
        <v>9.0</v>
      </c>
      <c r="J163" s="141" t="s">
        <v>37</v>
      </c>
      <c r="K163" s="139" t="s">
        <v>41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2"/>
      <c r="C164" s="144" t="s">
        <v>42</v>
      </c>
      <c r="D164" s="144">
        <v>0.0</v>
      </c>
      <c r="E164" s="144">
        <v>2.0</v>
      </c>
      <c r="F164" s="144">
        <v>6.0</v>
      </c>
      <c r="G164" s="144"/>
      <c r="H164" s="145" t="s">
        <v>30</v>
      </c>
      <c r="I164" s="144">
        <v>8.0</v>
      </c>
      <c r="J164" s="147" t="s">
        <v>37</v>
      </c>
      <c r="K164" s="144" t="s">
        <v>43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9" t="s">
        <v>44</v>
      </c>
      <c r="C165" s="139" t="s">
        <v>45</v>
      </c>
      <c r="D165" s="139">
        <v>4.0</v>
      </c>
      <c r="E165" s="139">
        <v>3.0</v>
      </c>
      <c r="F165" s="139">
        <v>5.0</v>
      </c>
      <c r="G165" s="139">
        <f>IF(D4="kg",MROUND(F8*0.775,2.5),MROUND(F8*0.775,5))</f>
        <v>205</v>
      </c>
      <c r="H165" s="141" t="s">
        <v>103</v>
      </c>
      <c r="I165" s="143">
        <v>44750.0</v>
      </c>
      <c r="J165" s="141" t="s">
        <v>24</v>
      </c>
      <c r="K165" s="139" t="s">
        <v>47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38"/>
      <c r="C166" s="139" t="s">
        <v>93</v>
      </c>
      <c r="D166" s="140">
        <v>3.0</v>
      </c>
      <c r="E166" s="140">
        <v>2.0</v>
      </c>
      <c r="F166" s="139">
        <v>8.0</v>
      </c>
      <c r="G166" s="139"/>
      <c r="H166" s="140" t="s">
        <v>30</v>
      </c>
      <c r="I166" s="140">
        <v>6.0</v>
      </c>
      <c r="J166" s="141" t="s">
        <v>31</v>
      </c>
      <c r="K166" s="139" t="s">
        <v>94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38"/>
      <c r="C167" s="139" t="s">
        <v>50</v>
      </c>
      <c r="D167" s="140">
        <v>1.0</v>
      </c>
      <c r="E167" s="140">
        <v>3.0</v>
      </c>
      <c r="F167" s="143">
        <v>44720.0</v>
      </c>
      <c r="G167" s="140"/>
      <c r="H167" s="140" t="s">
        <v>30</v>
      </c>
      <c r="I167" s="139">
        <v>9.0</v>
      </c>
      <c r="J167" s="140" t="s">
        <v>34</v>
      </c>
      <c r="K167" s="139" t="s">
        <v>51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38"/>
      <c r="C168" s="139" t="s">
        <v>52</v>
      </c>
      <c r="D168" s="140">
        <v>1.0</v>
      </c>
      <c r="E168" s="140">
        <v>2.0</v>
      </c>
      <c r="F168" s="143">
        <v>44783.0</v>
      </c>
      <c r="G168" s="139"/>
      <c r="H168" s="139" t="s">
        <v>30</v>
      </c>
      <c r="I168" s="140">
        <v>10.0</v>
      </c>
      <c r="J168" s="141" t="s">
        <v>37</v>
      </c>
      <c r="K168" s="139" t="s">
        <v>53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38"/>
      <c r="C169" s="139" t="s">
        <v>54</v>
      </c>
      <c r="D169" s="140">
        <v>1.0</v>
      </c>
      <c r="E169" s="140">
        <v>4.0</v>
      </c>
      <c r="F169" s="143">
        <v>44720.0</v>
      </c>
      <c r="G169" s="139"/>
      <c r="H169" s="139" t="s">
        <v>30</v>
      </c>
      <c r="I169" s="140">
        <v>10.0</v>
      </c>
      <c r="J169" s="141" t="s">
        <v>37</v>
      </c>
      <c r="K169" s="139" t="s">
        <v>55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2"/>
      <c r="C170" s="144" t="s">
        <v>56</v>
      </c>
      <c r="D170" s="145">
        <v>0.0</v>
      </c>
      <c r="E170" s="145">
        <v>2.0</v>
      </c>
      <c r="F170" s="144" t="s">
        <v>40</v>
      </c>
      <c r="G170" s="144"/>
      <c r="H170" s="147" t="s">
        <v>30</v>
      </c>
      <c r="I170" s="145">
        <v>9.0</v>
      </c>
      <c r="J170" s="147" t="s">
        <v>37</v>
      </c>
      <c r="K170" s="144" t="s">
        <v>57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6.25" customHeight="1">
      <c r="A171" s="1"/>
      <c r="B171" s="131" t="s">
        <v>58</v>
      </c>
      <c r="C171" s="15"/>
      <c r="D171" s="15"/>
      <c r="E171" s="15"/>
      <c r="F171" s="15"/>
      <c r="G171" s="15"/>
      <c r="H171" s="15"/>
      <c r="I171" s="15"/>
      <c r="J171" s="15"/>
      <c r="K171" s="1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9" t="s">
        <v>59</v>
      </c>
      <c r="C172" s="120" t="s">
        <v>60</v>
      </c>
      <c r="D172" s="120">
        <v>4.0</v>
      </c>
      <c r="E172" s="120">
        <v>1.0</v>
      </c>
      <c r="F172" s="120">
        <v>2.0</v>
      </c>
      <c r="G172" s="120" t="str">
        <f>IF(D4="kg",MROUND(G8*0.925,2.5)&amp;"-"&amp;MROUND(G8*0.95,2.5),MROUND(G8*0.925,5)&amp;"-"&amp;MROUND(G8*0.95,5))</f>
        <v>417.5-427.5</v>
      </c>
      <c r="H172" s="120" t="s">
        <v>107</v>
      </c>
      <c r="I172" s="132">
        <v>44782.0</v>
      </c>
      <c r="J172" s="122" t="s">
        <v>24</v>
      </c>
      <c r="K172" s="120" t="s">
        <v>61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38"/>
      <c r="C173" s="139" t="s">
        <v>95</v>
      </c>
      <c r="D173" s="140">
        <v>0.0</v>
      </c>
      <c r="E173" s="140">
        <v>2.0</v>
      </c>
      <c r="F173" s="139">
        <v>8.0</v>
      </c>
      <c r="G173" s="139" t="str">
        <f>IF(D4="kg",MROUND(G8*0.65,2.5)&amp;"-"&amp;MROUND(G8*0.75,2.5),MROUND(G8*0.65,5)&amp;"-"&amp;MROUND(G8*0.75,5))</f>
        <v>292.5-337.5</v>
      </c>
      <c r="H173" s="139" t="s">
        <v>108</v>
      </c>
      <c r="I173" s="140">
        <v>7.0</v>
      </c>
      <c r="J173" s="141" t="s">
        <v>31</v>
      </c>
      <c r="K173" s="139" t="s">
        <v>97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38"/>
      <c r="C174" s="139" t="s">
        <v>64</v>
      </c>
      <c r="D174" s="140">
        <v>3.0</v>
      </c>
      <c r="E174" s="140">
        <v>2.0</v>
      </c>
      <c r="F174" s="139">
        <v>8.0</v>
      </c>
      <c r="G174" s="139">
        <f>IF(D4="kg",MROUND(H8*0.7,2.5),MROUND(H8*0.7,5))</f>
        <v>102.5</v>
      </c>
      <c r="H174" s="142">
        <v>0.7</v>
      </c>
      <c r="I174" s="140">
        <v>6.0</v>
      </c>
      <c r="J174" s="141" t="s">
        <v>34</v>
      </c>
      <c r="K174" s="139" t="s">
        <v>41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38"/>
      <c r="C175" s="139" t="s">
        <v>65</v>
      </c>
      <c r="D175" s="140">
        <v>1.0</v>
      </c>
      <c r="E175" s="140">
        <v>3.0</v>
      </c>
      <c r="F175" s="139" t="s">
        <v>40</v>
      </c>
      <c r="G175" s="139"/>
      <c r="H175" s="141" t="s">
        <v>30</v>
      </c>
      <c r="I175" s="140">
        <v>9.0</v>
      </c>
      <c r="J175" s="141" t="s">
        <v>37</v>
      </c>
      <c r="K175" s="139" t="s">
        <v>66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38"/>
      <c r="C176" s="139" t="s">
        <v>67</v>
      </c>
      <c r="D176" s="140">
        <v>1.0</v>
      </c>
      <c r="E176" s="140">
        <v>2.0</v>
      </c>
      <c r="F176" s="139" t="s">
        <v>40</v>
      </c>
      <c r="G176" s="140"/>
      <c r="H176" s="141" t="s">
        <v>30</v>
      </c>
      <c r="I176" s="141" t="s">
        <v>68</v>
      </c>
      <c r="J176" s="141" t="s">
        <v>37</v>
      </c>
      <c r="K176" s="139" t="s">
        <v>69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38"/>
      <c r="C177" s="139" t="s">
        <v>70</v>
      </c>
      <c r="D177" s="139">
        <v>1.0</v>
      </c>
      <c r="E177" s="139">
        <v>3.0</v>
      </c>
      <c r="F177" s="143">
        <v>44783.0</v>
      </c>
      <c r="G177" s="139"/>
      <c r="H177" s="140" t="s">
        <v>30</v>
      </c>
      <c r="I177" s="139">
        <v>9.0</v>
      </c>
      <c r="J177" s="141" t="s">
        <v>37</v>
      </c>
      <c r="K177" s="139" t="s">
        <v>71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2"/>
      <c r="C178" s="144" t="s">
        <v>72</v>
      </c>
      <c r="D178" s="145">
        <v>1.0</v>
      </c>
      <c r="E178" s="145">
        <v>2.0</v>
      </c>
      <c r="F178" s="146">
        <v>44846.0</v>
      </c>
      <c r="G178" s="145"/>
      <c r="H178" s="147" t="s">
        <v>30</v>
      </c>
      <c r="I178" s="147" t="s">
        <v>73</v>
      </c>
      <c r="J178" s="147" t="s">
        <v>37</v>
      </c>
      <c r="K178" s="144" t="s">
        <v>74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9" t="s">
        <v>75</v>
      </c>
      <c r="C179" s="139" t="s">
        <v>26</v>
      </c>
      <c r="D179" s="139">
        <v>4.0</v>
      </c>
      <c r="E179" s="139">
        <v>3.0</v>
      </c>
      <c r="F179" s="139">
        <v>4.0</v>
      </c>
      <c r="G179" s="139">
        <f>IF(D4="kg",MROUND(E8*0.775,2.5),MROUND(E8*0.775,5))</f>
        <v>240</v>
      </c>
      <c r="H179" s="141" t="s">
        <v>103</v>
      </c>
      <c r="I179" s="143">
        <v>44750.0</v>
      </c>
      <c r="J179" s="141" t="s">
        <v>24</v>
      </c>
      <c r="K179" s="139" t="s">
        <v>28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38"/>
      <c r="C180" s="120" t="s">
        <v>77</v>
      </c>
      <c r="D180" s="120">
        <v>4.0</v>
      </c>
      <c r="E180" s="120">
        <v>1.0</v>
      </c>
      <c r="F180" s="120">
        <v>1.0</v>
      </c>
      <c r="G180" s="120" t="str">
        <f>IF(D4="kg",MROUND(F8*0.9,2.5)&amp;"-"&amp;MROUND(F8*0.95,2.5),MROUND(F8*0.9,5)&amp;"-"&amp;MROUND(F8*0.95,5))</f>
        <v>237.5-252.5</v>
      </c>
      <c r="H180" s="120" t="s">
        <v>109</v>
      </c>
      <c r="I180" s="121" t="s">
        <v>101</v>
      </c>
      <c r="J180" s="122" t="s">
        <v>24</v>
      </c>
      <c r="K180" s="120" t="s">
        <v>98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38"/>
      <c r="C181" s="139" t="s">
        <v>45</v>
      </c>
      <c r="D181" s="139">
        <v>0.0</v>
      </c>
      <c r="E181" s="139">
        <v>3.0</v>
      </c>
      <c r="F181" s="139">
        <v>2.0</v>
      </c>
      <c r="G181" s="139" t="str">
        <f>IF(D4="kg",MROUND(F8*0.875,2.5)&amp;"-"&amp;MROUND(F8*0.9,2.5),MROUND(F8*0.875,5)&amp;"-"&amp;MROUND(F8*0.9,5))</f>
        <v>232.5-237.5</v>
      </c>
      <c r="H181" s="139" t="s">
        <v>78</v>
      </c>
      <c r="I181" s="143">
        <v>44782.0</v>
      </c>
      <c r="J181" s="141" t="s">
        <v>24</v>
      </c>
      <c r="K181" s="139" t="s">
        <v>47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38"/>
      <c r="C182" s="139" t="s">
        <v>81</v>
      </c>
      <c r="D182" s="139">
        <v>1.0</v>
      </c>
      <c r="E182" s="139">
        <v>2.0</v>
      </c>
      <c r="F182" s="143">
        <v>44846.0</v>
      </c>
      <c r="G182" s="139"/>
      <c r="H182" s="141" t="s">
        <v>30</v>
      </c>
      <c r="I182" s="139">
        <v>8.0</v>
      </c>
      <c r="J182" s="141" t="s">
        <v>34</v>
      </c>
      <c r="K182" s="139" t="s">
        <v>82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38"/>
      <c r="C183" s="139" t="s">
        <v>83</v>
      </c>
      <c r="D183" s="140">
        <v>1.0</v>
      </c>
      <c r="E183" s="140">
        <v>2.0</v>
      </c>
      <c r="F183" s="143">
        <v>44846.0</v>
      </c>
      <c r="G183" s="139"/>
      <c r="H183" s="139" t="s">
        <v>30</v>
      </c>
      <c r="I183" s="140">
        <v>8.0</v>
      </c>
      <c r="J183" s="141" t="s">
        <v>37</v>
      </c>
      <c r="K183" s="139" t="s">
        <v>84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2"/>
      <c r="C184" s="144" t="s">
        <v>85</v>
      </c>
      <c r="D184" s="144">
        <v>0.0</v>
      </c>
      <c r="E184" s="144">
        <v>2.0</v>
      </c>
      <c r="F184" s="146">
        <v>44910.0</v>
      </c>
      <c r="G184" s="144"/>
      <c r="H184" s="147" t="s">
        <v>30</v>
      </c>
      <c r="I184" s="144">
        <v>8.0</v>
      </c>
      <c r="J184" s="147" t="s">
        <v>37</v>
      </c>
      <c r="K184" s="144" t="s">
        <v>86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6.25" customHeight="1">
      <c r="A185" s="1"/>
      <c r="B185" s="131" t="s">
        <v>87</v>
      </c>
      <c r="C185" s="15"/>
      <c r="D185" s="15"/>
      <c r="E185" s="15"/>
      <c r="F185" s="15"/>
      <c r="G185" s="15"/>
      <c r="H185" s="15"/>
      <c r="I185" s="15"/>
      <c r="J185" s="15"/>
      <c r="K185" s="1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30" t="s">
        <v>118</v>
      </c>
      <c r="C186" s="117" t="s">
        <v>11</v>
      </c>
      <c r="D186" s="117" t="s">
        <v>12</v>
      </c>
      <c r="E186" s="117" t="s">
        <v>13</v>
      </c>
      <c r="F186" s="118" t="s">
        <v>14</v>
      </c>
      <c r="G186" s="31" t="s">
        <v>15</v>
      </c>
      <c r="H186" s="118" t="s">
        <v>16</v>
      </c>
      <c r="I186" s="118" t="s">
        <v>17</v>
      </c>
      <c r="J186" s="118" t="s">
        <v>18</v>
      </c>
      <c r="K186" s="119" t="s">
        <v>19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9" t="s">
        <v>20</v>
      </c>
      <c r="C187" s="120" t="s">
        <v>21</v>
      </c>
      <c r="D187" s="121">
        <v>4.0</v>
      </c>
      <c r="E187" s="121">
        <v>1.0</v>
      </c>
      <c r="F187" s="120">
        <v>1.0</v>
      </c>
      <c r="G187" s="120" t="str">
        <f>IF(D4="kg",MROUND(E8*0.9,2.5)&amp;"-"&amp;MROUND(E8*0.925,2.5),MROUND(E8*0.9,5)&amp;"-"&amp;MROUND(E8*0.925,5))</f>
        <v>280-287.5</v>
      </c>
      <c r="H187" s="120" t="s">
        <v>104</v>
      </c>
      <c r="I187" s="120" t="s">
        <v>119</v>
      </c>
      <c r="J187" s="122" t="s">
        <v>24</v>
      </c>
      <c r="K187" s="120" t="s">
        <v>25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38"/>
      <c r="C188" s="139" t="s">
        <v>26</v>
      </c>
      <c r="D188" s="140">
        <v>0.0</v>
      </c>
      <c r="E188" s="140">
        <v>2.0</v>
      </c>
      <c r="F188" s="139">
        <v>3.0</v>
      </c>
      <c r="G188" s="139" t="str">
        <f>IF(D4="kg",MROUND(E8*0.825,2.5)&amp;"-"&amp;MROUND(E8*0.875,2.5),MROUND(E8*0.825,5)&amp;"-"&amp;MROUND(E8*0.875,5))</f>
        <v>255-272.5</v>
      </c>
      <c r="H188" s="139" t="s">
        <v>120</v>
      </c>
      <c r="I188" s="143">
        <v>44782.0</v>
      </c>
      <c r="J188" s="141" t="s">
        <v>24</v>
      </c>
      <c r="K188" s="139" t="s">
        <v>28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38"/>
      <c r="C189" s="139" t="s">
        <v>29</v>
      </c>
      <c r="D189" s="140">
        <v>3.0</v>
      </c>
      <c r="E189" s="140">
        <v>2.0</v>
      </c>
      <c r="F189" s="139">
        <v>8.0</v>
      </c>
      <c r="G189" s="139"/>
      <c r="H189" s="139" t="s">
        <v>30</v>
      </c>
      <c r="I189" s="140">
        <v>6.0</v>
      </c>
      <c r="J189" s="141" t="s">
        <v>31</v>
      </c>
      <c r="K189" s="139" t="s">
        <v>32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38"/>
      <c r="C190" s="139" t="s">
        <v>33</v>
      </c>
      <c r="D190" s="140">
        <v>2.0</v>
      </c>
      <c r="E190" s="140">
        <v>1.0</v>
      </c>
      <c r="F190" s="143">
        <v>44783.0</v>
      </c>
      <c r="G190" s="140"/>
      <c r="H190" s="140" t="s">
        <v>30</v>
      </c>
      <c r="I190" s="139">
        <v>6.0</v>
      </c>
      <c r="J190" s="140" t="s">
        <v>34</v>
      </c>
      <c r="K190" s="139" t="s">
        <v>35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38"/>
      <c r="C191" s="139" t="s">
        <v>36</v>
      </c>
      <c r="D191" s="140">
        <v>1.0</v>
      </c>
      <c r="E191" s="140">
        <v>3.0</v>
      </c>
      <c r="F191" s="143">
        <v>44783.0</v>
      </c>
      <c r="G191" s="139"/>
      <c r="H191" s="140" t="s">
        <v>30</v>
      </c>
      <c r="I191" s="139">
        <v>8.0</v>
      </c>
      <c r="J191" s="141" t="s">
        <v>37</v>
      </c>
      <c r="K191" s="139" t="s">
        <v>38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38"/>
      <c r="C192" s="139" t="s">
        <v>39</v>
      </c>
      <c r="D192" s="140">
        <v>0.0</v>
      </c>
      <c r="E192" s="140">
        <v>3.0</v>
      </c>
      <c r="F192" s="139" t="s">
        <v>40</v>
      </c>
      <c r="G192" s="139"/>
      <c r="H192" s="139" t="s">
        <v>30</v>
      </c>
      <c r="I192" s="140">
        <v>9.0</v>
      </c>
      <c r="J192" s="141" t="s">
        <v>37</v>
      </c>
      <c r="K192" s="139" t="s">
        <v>41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2"/>
      <c r="C193" s="144" t="s">
        <v>42</v>
      </c>
      <c r="D193" s="144">
        <v>0.0</v>
      </c>
      <c r="E193" s="144">
        <v>2.0</v>
      </c>
      <c r="F193" s="144">
        <v>6.0</v>
      </c>
      <c r="G193" s="144"/>
      <c r="H193" s="145" t="s">
        <v>30</v>
      </c>
      <c r="I193" s="144">
        <v>8.0</v>
      </c>
      <c r="J193" s="147" t="s">
        <v>37</v>
      </c>
      <c r="K193" s="144" t="s">
        <v>43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9" t="s">
        <v>44</v>
      </c>
      <c r="C194" s="139" t="s">
        <v>45</v>
      </c>
      <c r="D194" s="139">
        <v>4.0</v>
      </c>
      <c r="E194" s="139">
        <v>2.0</v>
      </c>
      <c r="F194" s="139">
        <v>5.0</v>
      </c>
      <c r="G194" s="139">
        <f>IF(D4="kg",MROUND(F8*0.8,2.5),MROUND(F8*0.8,5))</f>
        <v>212.5</v>
      </c>
      <c r="H194" s="141" t="s">
        <v>106</v>
      </c>
      <c r="I194" s="143">
        <v>44750.0</v>
      </c>
      <c r="J194" s="141" t="s">
        <v>24</v>
      </c>
      <c r="K194" s="139" t="s">
        <v>47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38"/>
      <c r="C195" s="139" t="s">
        <v>48</v>
      </c>
      <c r="D195" s="140">
        <v>3.0</v>
      </c>
      <c r="E195" s="140">
        <v>2.0</v>
      </c>
      <c r="F195" s="139">
        <v>8.0</v>
      </c>
      <c r="G195" s="139"/>
      <c r="H195" s="140" t="s">
        <v>30</v>
      </c>
      <c r="I195" s="140">
        <v>6.0</v>
      </c>
      <c r="J195" s="141" t="s">
        <v>31</v>
      </c>
      <c r="K195" s="139" t="s">
        <v>49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38"/>
      <c r="C196" s="139" t="s">
        <v>50</v>
      </c>
      <c r="D196" s="140">
        <v>1.0</v>
      </c>
      <c r="E196" s="140">
        <v>3.0</v>
      </c>
      <c r="F196" s="143">
        <v>44720.0</v>
      </c>
      <c r="G196" s="140"/>
      <c r="H196" s="140" t="s">
        <v>30</v>
      </c>
      <c r="I196" s="139">
        <v>9.0</v>
      </c>
      <c r="J196" s="140" t="s">
        <v>34</v>
      </c>
      <c r="K196" s="139" t="s">
        <v>51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38"/>
      <c r="C197" s="139" t="s">
        <v>52</v>
      </c>
      <c r="D197" s="140">
        <v>1.0</v>
      </c>
      <c r="E197" s="140">
        <v>2.0</v>
      </c>
      <c r="F197" s="143">
        <v>44783.0</v>
      </c>
      <c r="G197" s="139"/>
      <c r="H197" s="139" t="s">
        <v>30</v>
      </c>
      <c r="I197" s="140">
        <v>10.0</v>
      </c>
      <c r="J197" s="141" t="s">
        <v>37</v>
      </c>
      <c r="K197" s="139" t="s">
        <v>53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38"/>
      <c r="C198" s="139" t="s">
        <v>54</v>
      </c>
      <c r="D198" s="140">
        <v>1.0</v>
      </c>
      <c r="E198" s="140">
        <v>3.0</v>
      </c>
      <c r="F198" s="143">
        <v>44720.0</v>
      </c>
      <c r="G198" s="139"/>
      <c r="H198" s="139" t="s">
        <v>30</v>
      </c>
      <c r="I198" s="140">
        <v>10.0</v>
      </c>
      <c r="J198" s="141" t="s">
        <v>37</v>
      </c>
      <c r="K198" s="139" t="s">
        <v>55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2"/>
      <c r="C199" s="144" t="s">
        <v>56</v>
      </c>
      <c r="D199" s="145">
        <v>0.0</v>
      </c>
      <c r="E199" s="145">
        <v>2.0</v>
      </c>
      <c r="F199" s="144" t="s">
        <v>40</v>
      </c>
      <c r="G199" s="144"/>
      <c r="H199" s="147" t="s">
        <v>30</v>
      </c>
      <c r="I199" s="145">
        <v>9.0</v>
      </c>
      <c r="J199" s="147" t="s">
        <v>37</v>
      </c>
      <c r="K199" s="144" t="s">
        <v>57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6.25" customHeight="1">
      <c r="A200" s="1"/>
      <c r="B200" s="131" t="s">
        <v>58</v>
      </c>
      <c r="C200" s="15"/>
      <c r="D200" s="15"/>
      <c r="E200" s="15"/>
      <c r="F200" s="15"/>
      <c r="G200" s="15"/>
      <c r="H200" s="15"/>
      <c r="I200" s="15"/>
      <c r="J200" s="15"/>
      <c r="K200" s="16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9" t="s">
        <v>59</v>
      </c>
      <c r="C201" s="120" t="s">
        <v>60</v>
      </c>
      <c r="D201" s="120">
        <v>4.0</v>
      </c>
      <c r="E201" s="120">
        <v>1.0</v>
      </c>
      <c r="F201" s="120">
        <v>3.0</v>
      </c>
      <c r="G201" s="120" t="str">
        <f>IF(D4="kg",MROUND(G8*0.9,2.5)&amp;"-"&amp;MROUND(G8*0.95,2.5),MROUND(G8*0.9,5)&amp;"-"&amp;MROUND(G8*0.95,5))</f>
        <v>405-427.5</v>
      </c>
      <c r="H201" s="120" t="s">
        <v>104</v>
      </c>
      <c r="I201" s="120" t="s">
        <v>121</v>
      </c>
      <c r="J201" s="122" t="s">
        <v>24</v>
      </c>
      <c r="K201" s="120" t="s">
        <v>61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38"/>
      <c r="C202" s="139" t="s">
        <v>62</v>
      </c>
      <c r="D202" s="140">
        <v>0.0</v>
      </c>
      <c r="E202" s="140">
        <v>2.0</v>
      </c>
      <c r="F202" s="139">
        <v>4.0</v>
      </c>
      <c r="G202" s="139">
        <f>IF(D4="kg",MROUND(G8*0.725,2.5),MROUND(G8*0.725,5))</f>
        <v>327.5</v>
      </c>
      <c r="H202" s="150">
        <v>0.725</v>
      </c>
      <c r="I202" s="140">
        <v>7.0</v>
      </c>
      <c r="J202" s="141" t="s">
        <v>31</v>
      </c>
      <c r="K202" s="139" t="s">
        <v>63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38"/>
      <c r="C203" s="139" t="s">
        <v>64</v>
      </c>
      <c r="D203" s="140">
        <v>3.0</v>
      </c>
      <c r="E203" s="140">
        <v>2.0</v>
      </c>
      <c r="F203" s="139">
        <v>8.0</v>
      </c>
      <c r="G203" s="139">
        <f>IF(D4="kg",MROUND(H8*0.7,2.5),MROUND(H8*0.7,5))</f>
        <v>102.5</v>
      </c>
      <c r="H203" s="142">
        <v>0.7</v>
      </c>
      <c r="I203" s="140">
        <v>6.0</v>
      </c>
      <c r="J203" s="141" t="s">
        <v>34</v>
      </c>
      <c r="K203" s="139" t="s">
        <v>41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38"/>
      <c r="C204" s="139" t="s">
        <v>65</v>
      </c>
      <c r="D204" s="140">
        <v>1.0</v>
      </c>
      <c r="E204" s="140">
        <v>3.0</v>
      </c>
      <c r="F204" s="139" t="s">
        <v>40</v>
      </c>
      <c r="G204" s="139"/>
      <c r="H204" s="141" t="s">
        <v>30</v>
      </c>
      <c r="I204" s="140">
        <v>9.0</v>
      </c>
      <c r="J204" s="141" t="s">
        <v>37</v>
      </c>
      <c r="K204" s="139" t="s">
        <v>66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38"/>
      <c r="C205" s="139" t="s">
        <v>67</v>
      </c>
      <c r="D205" s="140">
        <v>1.0</v>
      </c>
      <c r="E205" s="140">
        <v>2.0</v>
      </c>
      <c r="F205" s="139" t="s">
        <v>40</v>
      </c>
      <c r="G205" s="140"/>
      <c r="H205" s="141" t="s">
        <v>30</v>
      </c>
      <c r="I205" s="141" t="s">
        <v>68</v>
      </c>
      <c r="J205" s="141" t="s">
        <v>37</v>
      </c>
      <c r="K205" s="139" t="s">
        <v>69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38"/>
      <c r="C206" s="139" t="s">
        <v>70</v>
      </c>
      <c r="D206" s="139">
        <v>1.0</v>
      </c>
      <c r="E206" s="139">
        <v>3.0</v>
      </c>
      <c r="F206" s="143">
        <v>44783.0</v>
      </c>
      <c r="G206" s="139"/>
      <c r="H206" s="140" t="s">
        <v>30</v>
      </c>
      <c r="I206" s="139">
        <v>9.0</v>
      </c>
      <c r="J206" s="141" t="s">
        <v>37</v>
      </c>
      <c r="K206" s="139" t="s">
        <v>71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2"/>
      <c r="C207" s="144" t="s">
        <v>72</v>
      </c>
      <c r="D207" s="145">
        <v>1.0</v>
      </c>
      <c r="E207" s="145">
        <v>2.0</v>
      </c>
      <c r="F207" s="146">
        <v>44846.0</v>
      </c>
      <c r="G207" s="145"/>
      <c r="H207" s="147" t="s">
        <v>30</v>
      </c>
      <c r="I207" s="147" t="s">
        <v>73</v>
      </c>
      <c r="J207" s="147" t="s">
        <v>37</v>
      </c>
      <c r="K207" s="144" t="s">
        <v>74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9" t="s">
        <v>75</v>
      </c>
      <c r="C208" s="139" t="s">
        <v>26</v>
      </c>
      <c r="D208" s="139">
        <v>4.0</v>
      </c>
      <c r="E208" s="139">
        <v>2.0</v>
      </c>
      <c r="F208" s="139">
        <v>4.0</v>
      </c>
      <c r="G208" s="139">
        <f>IF(D4="kg",MROUND(E8*0.8,2.5),MROUND(E8*0.8,5))</f>
        <v>247.5</v>
      </c>
      <c r="H208" s="141" t="s">
        <v>106</v>
      </c>
      <c r="I208" s="143">
        <v>44750.0</v>
      </c>
      <c r="J208" s="141" t="s">
        <v>24</v>
      </c>
      <c r="K208" s="139" t="s">
        <v>28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38"/>
      <c r="C209" s="120" t="s">
        <v>77</v>
      </c>
      <c r="D209" s="120">
        <v>4.0</v>
      </c>
      <c r="E209" s="120">
        <v>1.0</v>
      </c>
      <c r="F209" s="120">
        <v>1.0</v>
      </c>
      <c r="G209" s="120" t="str">
        <f>IF(D4="kg",MROUND(F8*0.925,2.5)&amp;"-"&amp;MROUND(F8*0.975,2.5),MROUND(F8*0.925,5)&amp;"-"&amp;MROUND(F8*0.975,5))</f>
        <v>245-257.5</v>
      </c>
      <c r="H209" s="120" t="s">
        <v>122</v>
      </c>
      <c r="I209" s="121" t="s">
        <v>119</v>
      </c>
      <c r="J209" s="122" t="s">
        <v>24</v>
      </c>
      <c r="K209" s="120" t="s">
        <v>98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38"/>
      <c r="C210" s="139" t="s">
        <v>45</v>
      </c>
      <c r="D210" s="139">
        <v>0.0</v>
      </c>
      <c r="E210" s="139">
        <v>3.0</v>
      </c>
      <c r="F210" s="139">
        <v>1.0</v>
      </c>
      <c r="G210" s="139" t="str">
        <f>IF(D4="kg",MROUND(F8*0.9,2.5)&amp;"-"&amp;MROUND(F8*0.95,2.5),MROUND(F8*0.9,5)&amp;"-"&amp;MROUND(F8*0.95,5))</f>
        <v>237.5-252.5</v>
      </c>
      <c r="H210" s="139" t="s">
        <v>109</v>
      </c>
      <c r="I210" s="143">
        <v>44782.0</v>
      </c>
      <c r="J210" s="141" t="s">
        <v>24</v>
      </c>
      <c r="K210" s="139" t="s">
        <v>47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38"/>
      <c r="C211" s="139" t="s">
        <v>81</v>
      </c>
      <c r="D211" s="139">
        <v>1.0</v>
      </c>
      <c r="E211" s="139">
        <v>2.0</v>
      </c>
      <c r="F211" s="143">
        <v>44846.0</v>
      </c>
      <c r="G211" s="139"/>
      <c r="H211" s="141" t="s">
        <v>30</v>
      </c>
      <c r="I211" s="139">
        <v>8.0</v>
      </c>
      <c r="J211" s="141" t="s">
        <v>34</v>
      </c>
      <c r="K211" s="139" t="s">
        <v>82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38"/>
      <c r="C212" s="139" t="s">
        <v>83</v>
      </c>
      <c r="D212" s="140">
        <v>1.0</v>
      </c>
      <c r="E212" s="140">
        <v>2.0</v>
      </c>
      <c r="F212" s="143">
        <v>44846.0</v>
      </c>
      <c r="G212" s="139"/>
      <c r="H212" s="139" t="s">
        <v>30</v>
      </c>
      <c r="I212" s="140">
        <v>8.0</v>
      </c>
      <c r="J212" s="141" t="s">
        <v>37</v>
      </c>
      <c r="K212" s="139" t="s">
        <v>84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52"/>
      <c r="C213" s="144" t="s">
        <v>85</v>
      </c>
      <c r="D213" s="144">
        <v>0.0</v>
      </c>
      <c r="E213" s="144">
        <v>2.0</v>
      </c>
      <c r="F213" s="146">
        <v>44910.0</v>
      </c>
      <c r="G213" s="144"/>
      <c r="H213" s="147" t="s">
        <v>30</v>
      </c>
      <c r="I213" s="144">
        <v>8.0</v>
      </c>
      <c r="J213" s="147" t="s">
        <v>37</v>
      </c>
      <c r="K213" s="144" t="s">
        <v>86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6.25" customHeight="1">
      <c r="A214" s="1"/>
      <c r="B214" s="131" t="s">
        <v>87</v>
      </c>
      <c r="C214" s="15"/>
      <c r="D214" s="15"/>
      <c r="E214" s="15"/>
      <c r="F214" s="15"/>
      <c r="G214" s="15"/>
      <c r="H214" s="15"/>
      <c r="I214" s="15"/>
      <c r="J214" s="15"/>
      <c r="K214" s="1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30" t="s">
        <v>123</v>
      </c>
      <c r="C215" s="117" t="s">
        <v>11</v>
      </c>
      <c r="D215" s="117" t="s">
        <v>12</v>
      </c>
      <c r="E215" s="117" t="s">
        <v>13</v>
      </c>
      <c r="F215" s="118" t="s">
        <v>14</v>
      </c>
      <c r="G215" s="31" t="s">
        <v>15</v>
      </c>
      <c r="H215" s="118" t="s">
        <v>16</v>
      </c>
      <c r="I215" s="118" t="s">
        <v>17</v>
      </c>
      <c r="J215" s="118" t="s">
        <v>18</v>
      </c>
      <c r="K215" s="119" t="s">
        <v>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9" t="s">
        <v>20</v>
      </c>
      <c r="C216" s="120" t="s">
        <v>21</v>
      </c>
      <c r="D216" s="121">
        <v>4.0</v>
      </c>
      <c r="E216" s="121">
        <v>1.0</v>
      </c>
      <c r="F216" s="120">
        <v>1.0</v>
      </c>
      <c r="G216" s="120" t="str">
        <f>IF(D4="kg",MROUND(E8*0.9,2.5)&amp;"-"&amp;MROUND(E8*0.95,2.5),MROUND(E8*0.9,5)&amp;"-"&amp;MROUND(E8*0.95,5))</f>
        <v>280-295</v>
      </c>
      <c r="H216" s="120" t="s">
        <v>109</v>
      </c>
      <c r="I216" s="120" t="s">
        <v>119</v>
      </c>
      <c r="J216" s="122" t="s">
        <v>24</v>
      </c>
      <c r="K216" s="120" t="s">
        <v>25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38"/>
      <c r="C217" s="139" t="s">
        <v>26</v>
      </c>
      <c r="D217" s="140">
        <v>0.0</v>
      </c>
      <c r="E217" s="140">
        <v>1.0</v>
      </c>
      <c r="F217" s="139">
        <v>3.0</v>
      </c>
      <c r="G217" s="139" t="str">
        <f>IF(D4="kg",MROUND(E8*0.85,2.5)&amp;"-"&amp;MROUND(E8*0.9,2.5),MROUND(E8*0.85,5)&amp;"-"&amp;MROUND(E8*0.9,5))</f>
        <v>262.5-280</v>
      </c>
      <c r="H217" s="139" t="s">
        <v>110</v>
      </c>
      <c r="I217" s="143">
        <v>44782.0</v>
      </c>
      <c r="J217" s="141" t="s">
        <v>24</v>
      </c>
      <c r="K217" s="139" t="s">
        <v>28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38"/>
      <c r="C218" s="139" t="s">
        <v>89</v>
      </c>
      <c r="D218" s="140">
        <v>3.0</v>
      </c>
      <c r="E218" s="140">
        <v>3.0</v>
      </c>
      <c r="F218" s="139">
        <v>8.0</v>
      </c>
      <c r="G218" s="139" t="str">
        <f>IF(D4="kg",MROUND(F8*0.7,2.5)&amp;"-"&amp;MROUND(F8*0.8,2.5),MROUND(F8*0.7,5)&amp;"-"&amp;MROUND(F8*0.8,5))</f>
        <v>185-212.5</v>
      </c>
      <c r="H218" s="139" t="s">
        <v>117</v>
      </c>
      <c r="I218" s="140">
        <v>6.0</v>
      </c>
      <c r="J218" s="141" t="s">
        <v>31</v>
      </c>
      <c r="K218" s="139" t="s">
        <v>91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38"/>
      <c r="C219" s="139" t="s">
        <v>33</v>
      </c>
      <c r="D219" s="140">
        <v>2.0</v>
      </c>
      <c r="E219" s="140">
        <v>1.0</v>
      </c>
      <c r="F219" s="143">
        <v>44783.0</v>
      </c>
      <c r="G219" s="140"/>
      <c r="H219" s="140" t="s">
        <v>30</v>
      </c>
      <c r="I219" s="139">
        <v>6.0</v>
      </c>
      <c r="J219" s="140" t="s">
        <v>34</v>
      </c>
      <c r="K219" s="139" t="s">
        <v>35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38"/>
      <c r="C220" s="139" t="s">
        <v>36</v>
      </c>
      <c r="D220" s="140">
        <v>1.0</v>
      </c>
      <c r="E220" s="140">
        <v>3.0</v>
      </c>
      <c r="F220" s="143">
        <v>44783.0</v>
      </c>
      <c r="G220" s="139"/>
      <c r="H220" s="140" t="s">
        <v>30</v>
      </c>
      <c r="I220" s="139">
        <v>8.0</v>
      </c>
      <c r="J220" s="141" t="s">
        <v>37</v>
      </c>
      <c r="K220" s="139" t="s">
        <v>38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38"/>
      <c r="C221" s="139" t="s">
        <v>39</v>
      </c>
      <c r="D221" s="140">
        <v>0.0</v>
      </c>
      <c r="E221" s="140">
        <v>3.0</v>
      </c>
      <c r="F221" s="139" t="s">
        <v>40</v>
      </c>
      <c r="G221" s="139"/>
      <c r="H221" s="139" t="s">
        <v>30</v>
      </c>
      <c r="I221" s="140">
        <v>9.0</v>
      </c>
      <c r="J221" s="141" t="s">
        <v>37</v>
      </c>
      <c r="K221" s="139" t="s">
        <v>41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2"/>
      <c r="C222" s="144" t="s">
        <v>42</v>
      </c>
      <c r="D222" s="144">
        <v>0.0</v>
      </c>
      <c r="E222" s="144">
        <v>2.0</v>
      </c>
      <c r="F222" s="144">
        <v>6.0</v>
      </c>
      <c r="G222" s="144"/>
      <c r="H222" s="145" t="s">
        <v>30</v>
      </c>
      <c r="I222" s="144">
        <v>8.0</v>
      </c>
      <c r="J222" s="147" t="s">
        <v>37</v>
      </c>
      <c r="K222" s="144" t="s">
        <v>43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9" t="s">
        <v>44</v>
      </c>
      <c r="C223" s="139" t="s">
        <v>45</v>
      </c>
      <c r="D223" s="139">
        <v>4.0</v>
      </c>
      <c r="E223" s="139">
        <v>1.0</v>
      </c>
      <c r="F223" s="139">
        <v>5.0</v>
      </c>
      <c r="G223" s="139">
        <f>IF(D4="kg",MROUND(F8*0.825,2.5),MROUND(F8*0.825,5))</f>
        <v>217.5</v>
      </c>
      <c r="H223" s="141" t="s">
        <v>124</v>
      </c>
      <c r="I223" s="143">
        <v>44750.0</v>
      </c>
      <c r="J223" s="141" t="s">
        <v>24</v>
      </c>
      <c r="K223" s="139" t="s">
        <v>47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38"/>
      <c r="C224" s="139" t="s">
        <v>93</v>
      </c>
      <c r="D224" s="140">
        <v>3.0</v>
      </c>
      <c r="E224" s="140">
        <v>3.0</v>
      </c>
      <c r="F224" s="139">
        <v>8.0</v>
      </c>
      <c r="G224" s="139"/>
      <c r="H224" s="140" t="s">
        <v>30</v>
      </c>
      <c r="I224" s="140">
        <v>6.0</v>
      </c>
      <c r="J224" s="141" t="s">
        <v>31</v>
      </c>
      <c r="K224" s="139" t="s">
        <v>94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38"/>
      <c r="C225" s="139" t="s">
        <v>50</v>
      </c>
      <c r="D225" s="140">
        <v>1.0</v>
      </c>
      <c r="E225" s="140">
        <v>3.0</v>
      </c>
      <c r="F225" s="143">
        <v>44720.0</v>
      </c>
      <c r="G225" s="140"/>
      <c r="H225" s="140" t="s">
        <v>30</v>
      </c>
      <c r="I225" s="139">
        <v>9.0</v>
      </c>
      <c r="J225" s="140" t="s">
        <v>34</v>
      </c>
      <c r="K225" s="139" t="s">
        <v>51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38"/>
      <c r="C226" s="139" t="s">
        <v>52</v>
      </c>
      <c r="D226" s="140">
        <v>1.0</v>
      </c>
      <c r="E226" s="140">
        <v>2.0</v>
      </c>
      <c r="F226" s="143">
        <v>44783.0</v>
      </c>
      <c r="G226" s="139"/>
      <c r="H226" s="139" t="s">
        <v>30</v>
      </c>
      <c r="I226" s="140">
        <v>10.0</v>
      </c>
      <c r="J226" s="141" t="s">
        <v>37</v>
      </c>
      <c r="K226" s="139" t="s">
        <v>53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38"/>
      <c r="C227" s="139" t="s">
        <v>54</v>
      </c>
      <c r="D227" s="140">
        <v>1.0</v>
      </c>
      <c r="E227" s="140">
        <v>3.0</v>
      </c>
      <c r="F227" s="143">
        <v>44720.0</v>
      </c>
      <c r="G227" s="139"/>
      <c r="H227" s="139" t="s">
        <v>30</v>
      </c>
      <c r="I227" s="140">
        <v>10.0</v>
      </c>
      <c r="J227" s="141" t="s">
        <v>37</v>
      </c>
      <c r="K227" s="139" t="s">
        <v>55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2"/>
      <c r="C228" s="144" t="s">
        <v>56</v>
      </c>
      <c r="D228" s="145">
        <v>0.0</v>
      </c>
      <c r="E228" s="145">
        <v>2.0</v>
      </c>
      <c r="F228" s="144" t="s">
        <v>40</v>
      </c>
      <c r="G228" s="144"/>
      <c r="H228" s="147" t="s">
        <v>30</v>
      </c>
      <c r="I228" s="145">
        <v>9.0</v>
      </c>
      <c r="J228" s="147" t="s">
        <v>37</v>
      </c>
      <c r="K228" s="144" t="s">
        <v>57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6.25" customHeight="1">
      <c r="A229" s="1"/>
      <c r="B229" s="131" t="s">
        <v>58</v>
      </c>
      <c r="C229" s="15"/>
      <c r="D229" s="15"/>
      <c r="E229" s="15"/>
      <c r="F229" s="15"/>
      <c r="G229" s="15"/>
      <c r="H229" s="15"/>
      <c r="I229" s="15"/>
      <c r="J229" s="15"/>
      <c r="K229" s="1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9" t="s">
        <v>59</v>
      </c>
      <c r="C230" s="120" t="s">
        <v>60</v>
      </c>
      <c r="D230" s="120">
        <v>4.0</v>
      </c>
      <c r="E230" s="120">
        <v>1.0</v>
      </c>
      <c r="F230" s="120">
        <v>1.0</v>
      </c>
      <c r="G230" s="120" t="str">
        <f>IF(D4="kg",MROUND(G8*0.95,2.5)&amp;"-"&amp;MROUND(G8*0.975,2.5),MROUND(G8*0.95,5)&amp;"-"&amp;MROUND(G8*0.975,5))</f>
        <v>427.5-440</v>
      </c>
      <c r="H230" s="120" t="s">
        <v>125</v>
      </c>
      <c r="I230" s="120" t="s">
        <v>121</v>
      </c>
      <c r="J230" s="122" t="s">
        <v>24</v>
      </c>
      <c r="K230" s="120" t="s">
        <v>61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38"/>
      <c r="C231" s="139" t="s">
        <v>95</v>
      </c>
      <c r="D231" s="140">
        <v>0.0</v>
      </c>
      <c r="E231" s="140">
        <v>2.0</v>
      </c>
      <c r="F231" s="139">
        <v>8.0</v>
      </c>
      <c r="G231" s="139" t="str">
        <f>IF(D4="kg",MROUND(G8*0.65,2.5)&amp;"-"&amp;MROUND(G8*0.75,2.5),MROUND(G8*0.65,5)&amp;"-"&amp;MROUND(G8*0.75,5))</f>
        <v>292.5-337.5</v>
      </c>
      <c r="H231" s="139" t="s">
        <v>108</v>
      </c>
      <c r="I231" s="140">
        <v>7.0</v>
      </c>
      <c r="J231" s="141" t="s">
        <v>31</v>
      </c>
      <c r="K231" s="139" t="s">
        <v>97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38"/>
      <c r="C232" s="139" t="s">
        <v>64</v>
      </c>
      <c r="D232" s="140">
        <v>3.0</v>
      </c>
      <c r="E232" s="140">
        <v>2.0</v>
      </c>
      <c r="F232" s="139">
        <v>8.0</v>
      </c>
      <c r="G232" s="139">
        <f>IF(D4="kg",MROUND(H8*0.7,2.5),MROUND(H8*0.7,5))</f>
        <v>102.5</v>
      </c>
      <c r="H232" s="142">
        <v>0.7</v>
      </c>
      <c r="I232" s="140">
        <v>6.0</v>
      </c>
      <c r="J232" s="141" t="s">
        <v>34</v>
      </c>
      <c r="K232" s="139" t="s">
        <v>41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38"/>
      <c r="C233" s="139" t="s">
        <v>65</v>
      </c>
      <c r="D233" s="140">
        <v>1.0</v>
      </c>
      <c r="E233" s="140">
        <v>3.0</v>
      </c>
      <c r="F233" s="139" t="s">
        <v>40</v>
      </c>
      <c r="G233" s="139"/>
      <c r="H233" s="141" t="s">
        <v>30</v>
      </c>
      <c r="I233" s="140">
        <v>9.0</v>
      </c>
      <c r="J233" s="141" t="s">
        <v>37</v>
      </c>
      <c r="K233" s="139" t="s">
        <v>66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38"/>
      <c r="C234" s="139" t="s">
        <v>67</v>
      </c>
      <c r="D234" s="140">
        <v>1.0</v>
      </c>
      <c r="E234" s="140">
        <v>2.0</v>
      </c>
      <c r="F234" s="139" t="s">
        <v>40</v>
      </c>
      <c r="G234" s="140"/>
      <c r="H234" s="141" t="s">
        <v>30</v>
      </c>
      <c r="I234" s="141" t="s">
        <v>68</v>
      </c>
      <c r="J234" s="141" t="s">
        <v>37</v>
      </c>
      <c r="K234" s="139" t="s">
        <v>69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38"/>
      <c r="C235" s="139" t="s">
        <v>70</v>
      </c>
      <c r="D235" s="139">
        <v>1.0</v>
      </c>
      <c r="E235" s="139">
        <v>3.0</v>
      </c>
      <c r="F235" s="143">
        <v>44783.0</v>
      </c>
      <c r="G235" s="139"/>
      <c r="H235" s="140" t="s">
        <v>30</v>
      </c>
      <c r="I235" s="139">
        <v>9.0</v>
      </c>
      <c r="J235" s="141" t="s">
        <v>37</v>
      </c>
      <c r="K235" s="139" t="s">
        <v>71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2"/>
      <c r="C236" s="144" t="s">
        <v>72</v>
      </c>
      <c r="D236" s="145">
        <v>1.0</v>
      </c>
      <c r="E236" s="145">
        <v>2.0</v>
      </c>
      <c r="F236" s="146">
        <v>44846.0</v>
      </c>
      <c r="G236" s="145"/>
      <c r="H236" s="147" t="s">
        <v>30</v>
      </c>
      <c r="I236" s="147" t="s">
        <v>73</v>
      </c>
      <c r="J236" s="147" t="s">
        <v>37</v>
      </c>
      <c r="K236" s="144" t="s">
        <v>74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9" t="s">
        <v>75</v>
      </c>
      <c r="C237" s="139" t="s">
        <v>26</v>
      </c>
      <c r="D237" s="139">
        <v>4.0</v>
      </c>
      <c r="E237" s="139">
        <v>2.0</v>
      </c>
      <c r="F237" s="139">
        <v>4.0</v>
      </c>
      <c r="G237" s="139">
        <f>IF(D4="kg",MROUND(E8*0.825,2.5),MROUND(E8*0.825,5))</f>
        <v>255</v>
      </c>
      <c r="H237" s="141" t="s">
        <v>124</v>
      </c>
      <c r="I237" s="143">
        <v>44750.0</v>
      </c>
      <c r="J237" s="141" t="s">
        <v>24</v>
      </c>
      <c r="K237" s="139" t="s">
        <v>28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38"/>
      <c r="C238" s="120" t="s">
        <v>77</v>
      </c>
      <c r="D238" s="120">
        <v>4.0</v>
      </c>
      <c r="E238" s="120">
        <v>1.0</v>
      </c>
      <c r="F238" s="120">
        <v>1.0</v>
      </c>
      <c r="G238" s="120" t="str">
        <f>IF(D4="kg",MROUND(F8*0.925,2.5)&amp;"-"&amp;MROUND(F8*0.975,2.5),MROUND(F8*0.925,5)&amp;"-"&amp;MROUND(F8*0.975,5))</f>
        <v>245-257.5</v>
      </c>
      <c r="H238" s="120" t="s">
        <v>122</v>
      </c>
      <c r="I238" s="121" t="s">
        <v>121</v>
      </c>
      <c r="J238" s="122" t="s">
        <v>24</v>
      </c>
      <c r="K238" s="120" t="s">
        <v>98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38"/>
      <c r="C239" s="139" t="s">
        <v>45</v>
      </c>
      <c r="D239" s="139">
        <v>0.0</v>
      </c>
      <c r="E239" s="139">
        <v>1.0</v>
      </c>
      <c r="F239" s="139">
        <v>2.0</v>
      </c>
      <c r="G239" s="139">
        <f>IF(D4="kg",MROUND(F8*0.95,2.5),MROUND(F8*0.95,5))</f>
        <v>252.5</v>
      </c>
      <c r="H239" s="142">
        <v>0.95</v>
      </c>
      <c r="I239" s="139" t="s">
        <v>121</v>
      </c>
      <c r="J239" s="141" t="s">
        <v>24</v>
      </c>
      <c r="K239" s="139" t="s">
        <v>47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38"/>
      <c r="C240" s="139" t="s">
        <v>81</v>
      </c>
      <c r="D240" s="139">
        <v>1.0</v>
      </c>
      <c r="E240" s="139">
        <v>2.0</v>
      </c>
      <c r="F240" s="143">
        <v>44846.0</v>
      </c>
      <c r="G240" s="139"/>
      <c r="H240" s="141" t="s">
        <v>30</v>
      </c>
      <c r="I240" s="139">
        <v>8.0</v>
      </c>
      <c r="J240" s="141" t="s">
        <v>34</v>
      </c>
      <c r="K240" s="139" t="s">
        <v>82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38"/>
      <c r="C241" s="139" t="s">
        <v>83</v>
      </c>
      <c r="D241" s="140">
        <v>1.0</v>
      </c>
      <c r="E241" s="140">
        <v>2.0</v>
      </c>
      <c r="F241" s="143">
        <v>44846.0</v>
      </c>
      <c r="G241" s="139"/>
      <c r="H241" s="139" t="s">
        <v>30</v>
      </c>
      <c r="I241" s="140">
        <v>8.0</v>
      </c>
      <c r="J241" s="141" t="s">
        <v>37</v>
      </c>
      <c r="K241" s="139" t="s">
        <v>84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2"/>
      <c r="C242" s="144" t="s">
        <v>85</v>
      </c>
      <c r="D242" s="144">
        <v>0.0</v>
      </c>
      <c r="E242" s="144">
        <v>2.0</v>
      </c>
      <c r="F242" s="146">
        <v>44910.0</v>
      </c>
      <c r="G242" s="144"/>
      <c r="H242" s="147" t="s">
        <v>30</v>
      </c>
      <c r="I242" s="144">
        <v>8.0</v>
      </c>
      <c r="J242" s="147" t="s">
        <v>37</v>
      </c>
      <c r="K242" s="144" t="s">
        <v>86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6.25" customHeight="1">
      <c r="A243" s="1"/>
      <c r="B243" s="131" t="s">
        <v>87</v>
      </c>
      <c r="C243" s="15"/>
      <c r="D243" s="15"/>
      <c r="E243" s="15"/>
      <c r="F243" s="15"/>
      <c r="G243" s="15"/>
      <c r="H243" s="15"/>
      <c r="I243" s="15"/>
      <c r="J243" s="15"/>
      <c r="K243" s="16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6.25" customHeight="1">
      <c r="A244" s="1"/>
      <c r="B244" s="151" t="s">
        <v>126</v>
      </c>
      <c r="C244" s="64"/>
      <c r="D244" s="64"/>
      <c r="E244" s="64"/>
      <c r="F244" s="64"/>
      <c r="G244" s="64"/>
      <c r="H244" s="64"/>
      <c r="I244" s="64"/>
      <c r="J244" s="64"/>
      <c r="K244" s="149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52" t="s">
        <v>127</v>
      </c>
      <c r="C245" s="153" t="s">
        <v>11</v>
      </c>
      <c r="D245" s="153" t="s">
        <v>12</v>
      </c>
      <c r="E245" s="153" t="s">
        <v>13</v>
      </c>
      <c r="F245" s="154" t="s">
        <v>14</v>
      </c>
      <c r="G245" s="31" t="s">
        <v>15</v>
      </c>
      <c r="H245" s="154" t="s">
        <v>16</v>
      </c>
      <c r="I245" s="154" t="s">
        <v>17</v>
      </c>
      <c r="J245" s="154" t="s">
        <v>18</v>
      </c>
      <c r="K245" s="155" t="s">
        <v>19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56" t="s">
        <v>20</v>
      </c>
      <c r="C246" s="157" t="s">
        <v>26</v>
      </c>
      <c r="D246" s="158">
        <v>4.0</v>
      </c>
      <c r="E246" s="157">
        <v>1.0</v>
      </c>
      <c r="F246" s="159" t="s">
        <v>128</v>
      </c>
      <c r="G246" s="157">
        <f>IF(D4="kg",MROUND(E8*0.9,2.5),MROUND(E8*0.9,5))</f>
        <v>280</v>
      </c>
      <c r="H246" s="160">
        <v>0.9</v>
      </c>
      <c r="I246" s="157" t="s">
        <v>79</v>
      </c>
      <c r="J246" s="159" t="s">
        <v>24</v>
      </c>
      <c r="K246" s="157" t="s">
        <v>129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61"/>
      <c r="C247" s="162" t="s">
        <v>77</v>
      </c>
      <c r="D247" s="163">
        <v>4.0</v>
      </c>
      <c r="E247" s="162">
        <v>1.0</v>
      </c>
      <c r="F247" s="164" t="s">
        <v>130</v>
      </c>
      <c r="G247" s="162">
        <f>IF(D4="kg",MROUND(F8*0.75,2.5),MROUND(F8*0.75,5))</f>
        <v>200</v>
      </c>
      <c r="H247" s="165">
        <v>0.75</v>
      </c>
      <c r="I247" s="166">
        <v>44687.0</v>
      </c>
      <c r="J247" s="164" t="s">
        <v>24</v>
      </c>
      <c r="K247" s="162" t="s">
        <v>131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61"/>
      <c r="C248" s="139" t="s">
        <v>132</v>
      </c>
      <c r="D248" s="140">
        <v>4.0</v>
      </c>
      <c r="E248" s="139">
        <v>2.0</v>
      </c>
      <c r="F248" s="141" t="s">
        <v>133</v>
      </c>
      <c r="G248" s="140">
        <f>IF(D4="kg",MROUND(G8*0.65,2.5),MROUND(G8*0.65,5))</f>
        <v>292.5</v>
      </c>
      <c r="H248" s="142">
        <v>0.65</v>
      </c>
      <c r="I248" s="143">
        <v>44656.0</v>
      </c>
      <c r="J248" s="140" t="s">
        <v>24</v>
      </c>
      <c r="K248" s="139" t="s">
        <v>134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67"/>
      <c r="C249" s="168" t="s">
        <v>36</v>
      </c>
      <c r="D249" s="169">
        <v>1.0</v>
      </c>
      <c r="E249" s="168">
        <v>4.0</v>
      </c>
      <c r="F249" s="170" t="s">
        <v>135</v>
      </c>
      <c r="G249" s="168"/>
      <c r="H249" s="168" t="s">
        <v>30</v>
      </c>
      <c r="I249" s="168">
        <v>8.0</v>
      </c>
      <c r="J249" s="170" t="s">
        <v>37</v>
      </c>
      <c r="K249" s="168" t="s">
        <v>38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6.25" customHeight="1">
      <c r="A250" s="1"/>
      <c r="B250" s="171" t="s">
        <v>58</v>
      </c>
      <c r="C250" s="3"/>
      <c r="D250" s="3"/>
      <c r="E250" s="3"/>
      <c r="F250" s="3"/>
      <c r="G250" s="3"/>
      <c r="H250" s="3"/>
      <c r="I250" s="3"/>
      <c r="J250" s="3"/>
      <c r="K250" s="17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56" t="s">
        <v>44</v>
      </c>
      <c r="C251" s="173" t="s">
        <v>60</v>
      </c>
      <c r="D251" s="173">
        <v>4.0</v>
      </c>
      <c r="E251" s="173">
        <v>1.0</v>
      </c>
      <c r="F251" s="174" t="s">
        <v>128</v>
      </c>
      <c r="G251" s="173">
        <f>IF(D4="kg",MROUND(G8*0.9,2.5),MROUND(G8*0.9,5))</f>
        <v>405</v>
      </c>
      <c r="H251" s="175">
        <v>0.9</v>
      </c>
      <c r="I251" s="173" t="s">
        <v>79</v>
      </c>
      <c r="J251" s="174" t="s">
        <v>24</v>
      </c>
      <c r="K251" s="173" t="s">
        <v>129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61"/>
      <c r="C252" s="115" t="s">
        <v>64</v>
      </c>
      <c r="D252" s="108">
        <v>3.0</v>
      </c>
      <c r="E252" s="115">
        <v>2.0</v>
      </c>
      <c r="F252" s="126" t="s">
        <v>136</v>
      </c>
      <c r="G252" s="115">
        <f>IF(D4="kg",MROUND(H8*0.7,2.5),MROUND(H8*0.7,5))</f>
        <v>102.5</v>
      </c>
      <c r="H252" s="135">
        <v>0.7</v>
      </c>
      <c r="I252" s="115">
        <v>6.0</v>
      </c>
      <c r="J252" s="126" t="s">
        <v>34</v>
      </c>
      <c r="K252" s="115" t="s">
        <v>137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61"/>
      <c r="C253" s="101" t="s">
        <v>48</v>
      </c>
      <c r="D253" s="123">
        <v>3.0</v>
      </c>
      <c r="E253" s="123">
        <v>2.0</v>
      </c>
      <c r="F253" s="125" t="s">
        <v>138</v>
      </c>
      <c r="G253" s="101"/>
      <c r="H253" s="123" t="s">
        <v>30</v>
      </c>
      <c r="I253" s="123">
        <v>5.0</v>
      </c>
      <c r="J253" s="125" t="s">
        <v>31</v>
      </c>
      <c r="K253" s="101" t="s">
        <v>49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67"/>
      <c r="C254" s="128" t="s">
        <v>54</v>
      </c>
      <c r="D254" s="129">
        <v>1.0</v>
      </c>
      <c r="E254" s="128">
        <v>4.0</v>
      </c>
      <c r="F254" s="130" t="s">
        <v>135</v>
      </c>
      <c r="G254" s="128"/>
      <c r="H254" s="128" t="s">
        <v>30</v>
      </c>
      <c r="I254" s="128">
        <v>6.0</v>
      </c>
      <c r="J254" s="130" t="s">
        <v>37</v>
      </c>
      <c r="K254" s="128" t="s">
        <v>55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6.25" customHeight="1">
      <c r="A255" s="1"/>
      <c r="B255" s="171" t="s">
        <v>58</v>
      </c>
      <c r="C255" s="3"/>
      <c r="D255" s="3"/>
      <c r="E255" s="3"/>
      <c r="F255" s="3"/>
      <c r="G255" s="3"/>
      <c r="H255" s="3"/>
      <c r="I255" s="3"/>
      <c r="J255" s="3"/>
      <c r="K255" s="17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56" t="s">
        <v>59</v>
      </c>
      <c r="C256" s="157" t="s">
        <v>77</v>
      </c>
      <c r="D256" s="157">
        <v>4.0</v>
      </c>
      <c r="E256" s="157">
        <v>1.0</v>
      </c>
      <c r="F256" s="159" t="s">
        <v>128</v>
      </c>
      <c r="G256" s="157">
        <f>IF(D4="kg",MROUND(F8*0.925,2.5),MROUND(F8*0.925,5))</f>
        <v>245</v>
      </c>
      <c r="H256" s="176">
        <v>0.925</v>
      </c>
      <c r="I256" s="158" t="s">
        <v>119</v>
      </c>
      <c r="J256" s="159" t="s">
        <v>24</v>
      </c>
      <c r="K256" s="157" t="s">
        <v>129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61"/>
      <c r="C257" s="162" t="s">
        <v>26</v>
      </c>
      <c r="D257" s="163">
        <v>4.0</v>
      </c>
      <c r="E257" s="162">
        <v>2.0</v>
      </c>
      <c r="F257" s="164" t="s">
        <v>138</v>
      </c>
      <c r="G257" s="162">
        <f>IF(D4="kg",MROUND(E8*0.75,2.5),MROUND(E8*0.75,5))</f>
        <v>232.5</v>
      </c>
      <c r="H257" s="165">
        <v>0.75</v>
      </c>
      <c r="I257" s="166">
        <v>44687.0</v>
      </c>
      <c r="J257" s="164" t="s">
        <v>24</v>
      </c>
      <c r="K257" s="162" t="s">
        <v>28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61"/>
      <c r="C258" s="139" t="s">
        <v>83</v>
      </c>
      <c r="D258" s="140">
        <v>1.0</v>
      </c>
      <c r="E258" s="139">
        <v>4.0</v>
      </c>
      <c r="F258" s="141" t="s">
        <v>135</v>
      </c>
      <c r="G258" s="139"/>
      <c r="H258" s="139" t="s">
        <v>30</v>
      </c>
      <c r="I258" s="139">
        <v>10.0</v>
      </c>
      <c r="J258" s="141" t="s">
        <v>37</v>
      </c>
      <c r="K258" s="139" t="s">
        <v>84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67"/>
      <c r="C259" s="168" t="s">
        <v>56</v>
      </c>
      <c r="D259" s="169">
        <v>0.0</v>
      </c>
      <c r="E259" s="168">
        <v>4.0</v>
      </c>
      <c r="F259" s="170" t="s">
        <v>139</v>
      </c>
      <c r="G259" s="168"/>
      <c r="H259" s="168" t="s">
        <v>30</v>
      </c>
      <c r="I259" s="168">
        <v>10.0</v>
      </c>
      <c r="J259" s="170" t="s">
        <v>37</v>
      </c>
      <c r="K259" s="168" t="s">
        <v>57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6.25" customHeight="1">
      <c r="A260" s="1"/>
      <c r="B260" s="177" t="s">
        <v>87</v>
      </c>
      <c r="C260" s="64"/>
      <c r="D260" s="64"/>
      <c r="E260" s="64"/>
      <c r="F260" s="64"/>
      <c r="G260" s="64"/>
      <c r="H260" s="64"/>
      <c r="I260" s="64"/>
      <c r="J260" s="64"/>
      <c r="K260" s="149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9"/>
      <c r="D261" s="1"/>
      <c r="E261" s="1"/>
      <c r="F261" s="1"/>
      <c r="G261" s="2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3.25" customHeight="1">
      <c r="A262" s="1"/>
      <c r="B262" s="178" t="s">
        <v>140</v>
      </c>
      <c r="C262" s="64"/>
      <c r="D262" s="64"/>
      <c r="E262" s="64"/>
      <c r="F262" s="64"/>
      <c r="G262" s="64"/>
      <c r="H262" s="64"/>
      <c r="I262" s="64"/>
      <c r="J262" s="64"/>
      <c r="K262" s="149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409.5" customHeight="1">
      <c r="A263" s="1"/>
      <c r="B263" s="179" t="s">
        <v>141</v>
      </c>
      <c r="C263" s="3"/>
      <c r="D263" s="3"/>
      <c r="E263" s="3"/>
      <c r="F263" s="3"/>
      <c r="G263" s="3"/>
      <c r="H263" s="3"/>
      <c r="I263" s="3"/>
      <c r="J263" s="3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9"/>
      <c r="D264" s="1"/>
      <c r="E264" s="1"/>
      <c r="F264" s="1"/>
      <c r="G264" s="2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6.25" customHeight="1">
      <c r="A265" s="1"/>
      <c r="B265" s="151" t="s">
        <v>142</v>
      </c>
      <c r="C265" s="64"/>
      <c r="D265" s="64"/>
      <c r="E265" s="64"/>
      <c r="F265" s="64"/>
      <c r="G265" s="64"/>
      <c r="H265" s="64"/>
      <c r="I265" s="64"/>
      <c r="J265" s="64"/>
      <c r="K265" s="149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31" t="s">
        <v>143</v>
      </c>
      <c r="C266" s="31" t="s">
        <v>11</v>
      </c>
      <c r="D266" s="31" t="s">
        <v>12</v>
      </c>
      <c r="E266" s="31" t="s">
        <v>13</v>
      </c>
      <c r="F266" s="32" t="s">
        <v>14</v>
      </c>
      <c r="G266" s="31" t="s">
        <v>15</v>
      </c>
      <c r="H266" s="32" t="s">
        <v>16</v>
      </c>
      <c r="I266" s="32" t="s">
        <v>17</v>
      </c>
      <c r="J266" s="32" t="s">
        <v>18</v>
      </c>
      <c r="K266" s="31" t="s">
        <v>19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56" t="s">
        <v>144</v>
      </c>
      <c r="C267" s="173" t="s">
        <v>26</v>
      </c>
      <c r="D267" s="173">
        <v>5.0</v>
      </c>
      <c r="E267" s="173" t="s">
        <v>145</v>
      </c>
      <c r="F267" s="174" t="s">
        <v>128</v>
      </c>
      <c r="G267" s="173" t="str">
        <f>IF(D4="kg",MROUND(E8*1,2.5)&amp;"-"&amp;MROUND(E8*1.05,2.5),MROUND(E8*1,5)&amp;"-"&amp;MROUND(E8*1.05,5))</f>
        <v>310-325</v>
      </c>
      <c r="H267" s="173" t="s">
        <v>146</v>
      </c>
      <c r="I267" s="180" t="s">
        <v>147</v>
      </c>
      <c r="J267" s="173" t="s">
        <v>148</v>
      </c>
      <c r="K267" s="173" t="s">
        <v>149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61"/>
      <c r="C268" s="115" t="s">
        <v>150</v>
      </c>
      <c r="D268" s="115">
        <v>1.0</v>
      </c>
      <c r="E268" s="115">
        <v>2.0</v>
      </c>
      <c r="F268" s="126" t="s">
        <v>73</v>
      </c>
      <c r="G268" s="115"/>
      <c r="H268" s="115" t="s">
        <v>30</v>
      </c>
      <c r="I268" s="115">
        <v>7.0</v>
      </c>
      <c r="J268" s="115" t="s">
        <v>37</v>
      </c>
      <c r="K268" s="115" t="s">
        <v>151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67"/>
      <c r="C269" s="105" t="s">
        <v>39</v>
      </c>
      <c r="D269" s="105">
        <v>1.0</v>
      </c>
      <c r="E269" s="105">
        <v>2.0</v>
      </c>
      <c r="F269" s="138" t="s">
        <v>40</v>
      </c>
      <c r="G269" s="105"/>
      <c r="H269" s="105" t="s">
        <v>30</v>
      </c>
      <c r="I269" s="105">
        <v>7.0</v>
      </c>
      <c r="J269" s="105" t="s">
        <v>37</v>
      </c>
      <c r="K269" s="105" t="s">
        <v>41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6.25" customHeight="1">
      <c r="A270" s="1"/>
      <c r="B270" s="177" t="s">
        <v>58</v>
      </c>
      <c r="C270" s="64"/>
      <c r="D270" s="64"/>
      <c r="E270" s="64"/>
      <c r="F270" s="64"/>
      <c r="G270" s="64"/>
      <c r="H270" s="64"/>
      <c r="I270" s="64"/>
      <c r="J270" s="64"/>
      <c r="K270" s="149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81" t="s">
        <v>152</v>
      </c>
      <c r="C271" s="101" t="s">
        <v>45</v>
      </c>
      <c r="D271" s="101">
        <v>5.0</v>
      </c>
      <c r="E271" s="101" t="s">
        <v>145</v>
      </c>
      <c r="F271" s="125" t="s">
        <v>128</v>
      </c>
      <c r="G271" s="101" t="str">
        <f>IF(D4="kg",MROUND(F8*1,2.5)&amp;"-"&amp;MROUND(F8*1.05,2.5),MROUND(F8*1,5)&amp;"-"&amp;MROUND(F8*1.05,5))</f>
        <v>265-277.5</v>
      </c>
      <c r="H271" s="101" t="s">
        <v>146</v>
      </c>
      <c r="I271" s="123" t="s">
        <v>147</v>
      </c>
      <c r="J271" s="101" t="s">
        <v>148</v>
      </c>
      <c r="K271" s="101" t="s">
        <v>149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61"/>
      <c r="C272" s="115" t="s">
        <v>54</v>
      </c>
      <c r="D272" s="115">
        <v>3.0</v>
      </c>
      <c r="E272" s="115">
        <v>1.0</v>
      </c>
      <c r="F272" s="126" t="s">
        <v>133</v>
      </c>
      <c r="G272" s="115"/>
      <c r="H272" s="115" t="s">
        <v>30</v>
      </c>
      <c r="I272" s="115">
        <v>10.0</v>
      </c>
      <c r="J272" s="115" t="s">
        <v>37</v>
      </c>
      <c r="K272" s="115" t="s">
        <v>55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82"/>
      <c r="C273" s="101" t="s">
        <v>64</v>
      </c>
      <c r="D273" s="101">
        <v>1.0</v>
      </c>
      <c r="E273" s="101">
        <v>2.0</v>
      </c>
      <c r="F273" s="125" t="s">
        <v>138</v>
      </c>
      <c r="G273" s="101"/>
      <c r="H273" s="101" t="s">
        <v>30</v>
      </c>
      <c r="I273" s="101">
        <v>7.0</v>
      </c>
      <c r="J273" s="101" t="s">
        <v>34</v>
      </c>
      <c r="K273" s="101" t="s">
        <v>153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6.25" customHeight="1">
      <c r="A274" s="1"/>
      <c r="B274" s="177" t="s">
        <v>58</v>
      </c>
      <c r="C274" s="64"/>
      <c r="D274" s="64"/>
      <c r="E274" s="64"/>
      <c r="F274" s="64"/>
      <c r="G274" s="64"/>
      <c r="H274" s="64"/>
      <c r="I274" s="64"/>
      <c r="J274" s="64"/>
      <c r="K274" s="149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81" t="s">
        <v>154</v>
      </c>
      <c r="C275" s="101" t="s">
        <v>60</v>
      </c>
      <c r="D275" s="101">
        <v>5.0</v>
      </c>
      <c r="E275" s="101" t="s">
        <v>145</v>
      </c>
      <c r="F275" s="125" t="s">
        <v>128</v>
      </c>
      <c r="G275" s="101" t="str">
        <f>IF(D4="kg",MROUND(G8*1,2.5)&amp;"-"&amp;MROUND(G8*1.05,2.5),MROUND(G8*1,5)&amp;"-"&amp;MROUND(G8*1.05,5))</f>
        <v>450-472.5</v>
      </c>
      <c r="H275" s="101" t="s">
        <v>146</v>
      </c>
      <c r="I275" s="123" t="s">
        <v>147</v>
      </c>
      <c r="J275" s="101" t="s">
        <v>148</v>
      </c>
      <c r="K275" s="101" t="s">
        <v>149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61"/>
      <c r="C276" s="115" t="s">
        <v>36</v>
      </c>
      <c r="D276" s="115">
        <v>1.0</v>
      </c>
      <c r="E276" s="115">
        <v>3.0</v>
      </c>
      <c r="F276" s="126" t="s">
        <v>155</v>
      </c>
      <c r="G276" s="115"/>
      <c r="H276" s="115" t="s">
        <v>30</v>
      </c>
      <c r="I276" s="115">
        <v>7.0</v>
      </c>
      <c r="J276" s="115" t="s">
        <v>37</v>
      </c>
      <c r="K276" s="115" t="s">
        <v>38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67"/>
      <c r="C277" s="105" t="s">
        <v>156</v>
      </c>
      <c r="D277" s="105">
        <v>1.0</v>
      </c>
      <c r="E277" s="105">
        <v>2.0</v>
      </c>
      <c r="F277" s="138" t="s">
        <v>139</v>
      </c>
      <c r="G277" s="105"/>
      <c r="H277" s="105" t="s">
        <v>30</v>
      </c>
      <c r="I277" s="105">
        <v>7.0</v>
      </c>
      <c r="J277" s="105" t="s">
        <v>37</v>
      </c>
      <c r="K277" s="105" t="s">
        <v>53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6.25" customHeight="1">
      <c r="A279" s="1"/>
      <c r="B279" s="151" t="s">
        <v>157</v>
      </c>
      <c r="C279" s="64"/>
      <c r="D279" s="64"/>
      <c r="E279" s="64"/>
      <c r="F279" s="64"/>
      <c r="G279" s="64"/>
      <c r="H279" s="64"/>
      <c r="I279" s="64"/>
      <c r="J279" s="64"/>
      <c r="K279" s="149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31" t="s">
        <v>158</v>
      </c>
      <c r="C280" s="31" t="s">
        <v>11</v>
      </c>
      <c r="D280" s="31" t="s">
        <v>12</v>
      </c>
      <c r="E280" s="31" t="s">
        <v>13</v>
      </c>
      <c r="F280" s="32" t="s">
        <v>14</v>
      </c>
      <c r="G280" s="31" t="s">
        <v>15</v>
      </c>
      <c r="H280" s="32" t="s">
        <v>16</v>
      </c>
      <c r="I280" s="32" t="s">
        <v>17</v>
      </c>
      <c r="J280" s="183" t="s">
        <v>18</v>
      </c>
      <c r="K280" s="31" t="s">
        <v>19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81" t="s">
        <v>144</v>
      </c>
      <c r="C281" s="101" t="s">
        <v>26</v>
      </c>
      <c r="D281" s="101">
        <v>5.0</v>
      </c>
      <c r="E281" s="101">
        <v>1.0</v>
      </c>
      <c r="F281" s="125" t="s">
        <v>159</v>
      </c>
      <c r="G281" s="101">
        <f>IF(D4="kg",MROUND(E8*0.9,2.5),MROUND(E8*0.9,5))</f>
        <v>280</v>
      </c>
      <c r="H281" s="134">
        <v>0.9</v>
      </c>
      <c r="I281" s="123" t="s">
        <v>147</v>
      </c>
      <c r="J281" s="101" t="s">
        <v>148</v>
      </c>
      <c r="K281" s="101" t="s">
        <v>160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61"/>
      <c r="C282" s="115" t="s">
        <v>150</v>
      </c>
      <c r="D282" s="115">
        <v>1.0</v>
      </c>
      <c r="E282" s="115">
        <v>2.0</v>
      </c>
      <c r="F282" s="126" t="s">
        <v>73</v>
      </c>
      <c r="G282" s="115"/>
      <c r="H282" s="115" t="s">
        <v>30</v>
      </c>
      <c r="I282" s="115">
        <v>7.0</v>
      </c>
      <c r="J282" s="115" t="s">
        <v>37</v>
      </c>
      <c r="K282" s="115" t="s">
        <v>151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82"/>
      <c r="C283" s="101" t="s">
        <v>39</v>
      </c>
      <c r="D283" s="101">
        <v>1.0</v>
      </c>
      <c r="E283" s="101">
        <v>2.0</v>
      </c>
      <c r="F283" s="125" t="s">
        <v>40</v>
      </c>
      <c r="G283" s="101"/>
      <c r="H283" s="101" t="s">
        <v>30</v>
      </c>
      <c r="I283" s="101">
        <v>7.0</v>
      </c>
      <c r="J283" s="101" t="s">
        <v>37</v>
      </c>
      <c r="K283" s="101" t="s">
        <v>161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6.25" customHeight="1">
      <c r="A284" s="1"/>
      <c r="B284" s="177" t="s">
        <v>58</v>
      </c>
      <c r="C284" s="64"/>
      <c r="D284" s="64"/>
      <c r="E284" s="64"/>
      <c r="F284" s="64"/>
      <c r="G284" s="64"/>
      <c r="H284" s="64"/>
      <c r="I284" s="64"/>
      <c r="J284" s="64"/>
      <c r="K284" s="149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81" t="s">
        <v>152</v>
      </c>
      <c r="C285" s="101" t="s">
        <v>45</v>
      </c>
      <c r="D285" s="101">
        <v>5.0</v>
      </c>
      <c r="E285" s="101">
        <v>1.0</v>
      </c>
      <c r="F285" s="125" t="s">
        <v>159</v>
      </c>
      <c r="G285" s="101">
        <f>IF(D4="kg",MROUND(F8*0.9,2.5),MROUND(F8*0.9,5))</f>
        <v>237.5</v>
      </c>
      <c r="H285" s="134">
        <v>0.9</v>
      </c>
      <c r="I285" s="123" t="s">
        <v>147</v>
      </c>
      <c r="J285" s="101" t="s">
        <v>148</v>
      </c>
      <c r="K285" s="101" t="s">
        <v>160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61"/>
      <c r="C286" s="115" t="s">
        <v>54</v>
      </c>
      <c r="D286" s="115">
        <v>3.0</v>
      </c>
      <c r="E286" s="115">
        <v>1.0</v>
      </c>
      <c r="F286" s="126" t="s">
        <v>133</v>
      </c>
      <c r="G286" s="115"/>
      <c r="H286" s="115" t="s">
        <v>30</v>
      </c>
      <c r="I286" s="115">
        <v>10.0</v>
      </c>
      <c r="J286" s="115" t="s">
        <v>37</v>
      </c>
      <c r="K286" s="115" t="s">
        <v>55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82"/>
      <c r="C287" s="101" t="s">
        <v>64</v>
      </c>
      <c r="D287" s="101">
        <v>1.0</v>
      </c>
      <c r="E287" s="101">
        <v>2.0</v>
      </c>
      <c r="F287" s="125" t="s">
        <v>138</v>
      </c>
      <c r="G287" s="101"/>
      <c r="H287" s="101" t="s">
        <v>30</v>
      </c>
      <c r="I287" s="101">
        <v>7.0</v>
      </c>
      <c r="J287" s="101" t="s">
        <v>34</v>
      </c>
      <c r="K287" s="101" t="s">
        <v>153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6.25" customHeight="1">
      <c r="A288" s="1"/>
      <c r="B288" s="177" t="s">
        <v>58</v>
      </c>
      <c r="C288" s="64"/>
      <c r="D288" s="64"/>
      <c r="E288" s="64"/>
      <c r="F288" s="64"/>
      <c r="G288" s="64"/>
      <c r="H288" s="64"/>
      <c r="I288" s="64"/>
      <c r="J288" s="64"/>
      <c r="K288" s="149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81" t="s">
        <v>154</v>
      </c>
      <c r="C289" s="101" t="s">
        <v>60</v>
      </c>
      <c r="D289" s="101">
        <v>5.0</v>
      </c>
      <c r="E289" s="101">
        <v>1.0</v>
      </c>
      <c r="F289" s="125" t="s">
        <v>159</v>
      </c>
      <c r="G289" s="101">
        <f>IF(D4="kg",MROUND(G8*0.9,2.5),MROUND(G8*0.9,5))</f>
        <v>405</v>
      </c>
      <c r="H289" s="134">
        <v>0.9</v>
      </c>
      <c r="I289" s="123" t="s">
        <v>147</v>
      </c>
      <c r="J289" s="101" t="s">
        <v>148</v>
      </c>
      <c r="K289" s="101" t="s">
        <v>160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61"/>
      <c r="C290" s="115" t="s">
        <v>36</v>
      </c>
      <c r="D290" s="115">
        <v>1.0</v>
      </c>
      <c r="E290" s="115">
        <v>3.0</v>
      </c>
      <c r="F290" s="126" t="s">
        <v>155</v>
      </c>
      <c r="G290" s="115"/>
      <c r="H290" s="115" t="s">
        <v>30</v>
      </c>
      <c r="I290" s="115">
        <v>7.0</v>
      </c>
      <c r="J290" s="115" t="s">
        <v>37</v>
      </c>
      <c r="K290" s="115" t="s">
        <v>38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67"/>
      <c r="C291" s="105" t="s">
        <v>156</v>
      </c>
      <c r="D291" s="105">
        <v>1.0</v>
      </c>
      <c r="E291" s="105">
        <v>2.0</v>
      </c>
      <c r="F291" s="138" t="s">
        <v>139</v>
      </c>
      <c r="G291" s="105"/>
      <c r="H291" s="105" t="s">
        <v>30</v>
      </c>
      <c r="I291" s="105">
        <v>7.0</v>
      </c>
      <c r="J291" s="105" t="s">
        <v>37</v>
      </c>
      <c r="K291" s="105" t="s">
        <v>53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9"/>
      <c r="D292" s="1"/>
      <c r="E292" s="1"/>
      <c r="F292" s="1"/>
      <c r="G292" s="2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9"/>
      <c r="D293" s="1"/>
      <c r="E293" s="1"/>
      <c r="F293" s="1"/>
      <c r="G293" s="2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9"/>
      <c r="D294" s="1"/>
      <c r="E294" s="1"/>
      <c r="F294" s="1"/>
      <c r="G294" s="2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9"/>
      <c r="D295" s="1"/>
      <c r="E295" s="1"/>
      <c r="F295" s="1"/>
      <c r="G295" s="2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9"/>
      <c r="D296" s="1"/>
      <c r="E296" s="1"/>
      <c r="F296" s="1"/>
      <c r="G296" s="2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9"/>
      <c r="D297" s="1"/>
      <c r="E297" s="1"/>
      <c r="F297" s="1"/>
      <c r="G297" s="2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9"/>
      <c r="D298" s="1"/>
      <c r="E298" s="1"/>
      <c r="F298" s="1"/>
      <c r="G298" s="2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9"/>
      <c r="D299" s="1"/>
      <c r="E299" s="1"/>
      <c r="F299" s="1"/>
      <c r="G299" s="2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9"/>
      <c r="D300" s="1"/>
      <c r="E300" s="1"/>
      <c r="F300" s="1"/>
      <c r="G300" s="2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9"/>
      <c r="D301" s="1"/>
      <c r="E301" s="1"/>
      <c r="F301" s="1"/>
      <c r="G301" s="2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9"/>
      <c r="D302" s="1"/>
      <c r="E302" s="1"/>
      <c r="F302" s="1"/>
      <c r="G302" s="2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9"/>
      <c r="D303" s="1"/>
      <c r="E303" s="1"/>
      <c r="F303" s="1"/>
      <c r="G303" s="2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9"/>
      <c r="D304" s="1"/>
      <c r="E304" s="1"/>
      <c r="F304" s="1"/>
      <c r="G304" s="2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9"/>
      <c r="D305" s="1"/>
      <c r="E305" s="1"/>
      <c r="F305" s="1"/>
      <c r="G305" s="2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9"/>
      <c r="D306" s="1"/>
      <c r="E306" s="1"/>
      <c r="F306" s="1"/>
      <c r="G306" s="2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9"/>
      <c r="D307" s="1"/>
      <c r="E307" s="1"/>
      <c r="F307" s="1"/>
      <c r="G307" s="2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9"/>
      <c r="D308" s="1"/>
      <c r="E308" s="1"/>
      <c r="F308" s="1"/>
      <c r="G308" s="2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9"/>
      <c r="D309" s="1"/>
      <c r="E309" s="1"/>
      <c r="F309" s="1"/>
      <c r="G309" s="2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9"/>
      <c r="D310" s="1"/>
      <c r="E310" s="1"/>
      <c r="F310" s="1"/>
      <c r="G310" s="2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9"/>
      <c r="D311" s="1"/>
      <c r="E311" s="1"/>
      <c r="F311" s="1"/>
      <c r="G311" s="2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9"/>
      <c r="D312" s="1"/>
      <c r="E312" s="1"/>
      <c r="F312" s="1"/>
      <c r="G312" s="2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9"/>
      <c r="D313" s="1"/>
      <c r="E313" s="1"/>
      <c r="F313" s="1"/>
      <c r="G313" s="2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9"/>
      <c r="D314" s="1"/>
      <c r="E314" s="1"/>
      <c r="F314" s="1"/>
      <c r="G314" s="2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9"/>
      <c r="D315" s="1"/>
      <c r="E315" s="1"/>
      <c r="F315" s="1"/>
      <c r="G315" s="2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9"/>
      <c r="D316" s="1"/>
      <c r="E316" s="1"/>
      <c r="F316" s="1"/>
      <c r="G316" s="2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9"/>
      <c r="D317" s="1"/>
      <c r="E317" s="1"/>
      <c r="F317" s="1"/>
      <c r="G317" s="2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9"/>
      <c r="D318" s="1"/>
      <c r="E318" s="1"/>
      <c r="F318" s="1"/>
      <c r="G318" s="2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9"/>
      <c r="D319" s="1"/>
      <c r="E319" s="1"/>
      <c r="F319" s="1"/>
      <c r="G319" s="2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9"/>
      <c r="D320" s="1"/>
      <c r="E320" s="1"/>
      <c r="F320" s="1"/>
      <c r="G320" s="2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9"/>
      <c r="D321" s="1"/>
      <c r="E321" s="1"/>
      <c r="F321" s="1"/>
      <c r="G321" s="2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9"/>
      <c r="D322" s="1"/>
      <c r="E322" s="1"/>
      <c r="F322" s="1"/>
      <c r="G322" s="2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9"/>
      <c r="D323" s="1"/>
      <c r="E323" s="1"/>
      <c r="F323" s="1"/>
      <c r="G323" s="2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9"/>
      <c r="D324" s="1"/>
      <c r="E324" s="1"/>
      <c r="F324" s="1"/>
      <c r="G324" s="2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9"/>
      <c r="D325" s="1"/>
      <c r="E325" s="1"/>
      <c r="F325" s="1"/>
      <c r="G325" s="2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9"/>
      <c r="D326" s="1"/>
      <c r="E326" s="1"/>
      <c r="F326" s="1"/>
      <c r="G326" s="2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9"/>
      <c r="D327" s="1"/>
      <c r="E327" s="1"/>
      <c r="F327" s="1"/>
      <c r="G327" s="2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9"/>
      <c r="D328" s="1"/>
      <c r="E328" s="1"/>
      <c r="F328" s="1"/>
      <c r="G328" s="2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9"/>
      <c r="D329" s="1"/>
      <c r="E329" s="1"/>
      <c r="F329" s="1"/>
      <c r="G329" s="2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9"/>
      <c r="D330" s="1"/>
      <c r="E330" s="1"/>
      <c r="F330" s="1"/>
      <c r="G330" s="2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9"/>
      <c r="D331" s="1"/>
      <c r="E331" s="1"/>
      <c r="F331" s="1"/>
      <c r="G331" s="2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9"/>
      <c r="D332" s="1"/>
      <c r="E332" s="1"/>
      <c r="F332" s="1"/>
      <c r="G332" s="2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9"/>
      <c r="D333" s="1"/>
      <c r="E333" s="1"/>
      <c r="F333" s="1"/>
      <c r="G333" s="2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9"/>
      <c r="D334" s="1"/>
      <c r="E334" s="1"/>
      <c r="F334" s="1"/>
      <c r="G334" s="2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9"/>
      <c r="D335" s="1"/>
      <c r="E335" s="1"/>
      <c r="F335" s="1"/>
      <c r="G335" s="2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9"/>
      <c r="D336" s="1"/>
      <c r="E336" s="1"/>
      <c r="F336" s="1"/>
      <c r="G336" s="2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9"/>
      <c r="D337" s="1"/>
      <c r="E337" s="1"/>
      <c r="F337" s="1"/>
      <c r="G337" s="2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9"/>
      <c r="D338" s="1"/>
      <c r="E338" s="1"/>
      <c r="F338" s="1"/>
      <c r="G338" s="2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9"/>
      <c r="D339" s="1"/>
      <c r="E339" s="1"/>
      <c r="F339" s="1"/>
      <c r="G339" s="2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9"/>
      <c r="D340" s="1"/>
      <c r="E340" s="1"/>
      <c r="F340" s="1"/>
      <c r="G340" s="2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9"/>
      <c r="D341" s="1"/>
      <c r="E341" s="1"/>
      <c r="F341" s="1"/>
      <c r="G341" s="2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9"/>
      <c r="D342" s="1"/>
      <c r="E342" s="1"/>
      <c r="F342" s="1"/>
      <c r="G342" s="2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9"/>
      <c r="D343" s="1"/>
      <c r="E343" s="1"/>
      <c r="F343" s="1"/>
      <c r="G343" s="2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9"/>
      <c r="D344" s="1"/>
      <c r="E344" s="1"/>
      <c r="F344" s="1"/>
      <c r="G344" s="2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9"/>
      <c r="D345" s="1"/>
      <c r="E345" s="1"/>
      <c r="F345" s="1"/>
      <c r="G345" s="2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9"/>
      <c r="D346" s="1"/>
      <c r="E346" s="1"/>
      <c r="F346" s="1"/>
      <c r="G346" s="2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9"/>
      <c r="D347" s="1"/>
      <c r="E347" s="1"/>
      <c r="F347" s="1"/>
      <c r="G347" s="2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9"/>
      <c r="D348" s="1"/>
      <c r="E348" s="1"/>
      <c r="F348" s="1"/>
      <c r="G348" s="2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9"/>
      <c r="D349" s="1"/>
      <c r="E349" s="1"/>
      <c r="F349" s="1"/>
      <c r="G349" s="2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9"/>
      <c r="D350" s="1"/>
      <c r="E350" s="1"/>
      <c r="F350" s="1"/>
      <c r="G350" s="2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9"/>
      <c r="D351" s="1"/>
      <c r="E351" s="1"/>
      <c r="F351" s="1"/>
      <c r="G351" s="2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9"/>
      <c r="D352" s="1"/>
      <c r="E352" s="1"/>
      <c r="F352" s="1"/>
      <c r="G352" s="2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9"/>
      <c r="D353" s="1"/>
      <c r="E353" s="1"/>
      <c r="F353" s="1"/>
      <c r="G353" s="2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9"/>
      <c r="D354" s="1"/>
      <c r="E354" s="1"/>
      <c r="F354" s="1"/>
      <c r="G354" s="2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9"/>
      <c r="D355" s="1"/>
      <c r="E355" s="1"/>
      <c r="F355" s="1"/>
      <c r="G355" s="2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9"/>
      <c r="D356" s="1"/>
      <c r="E356" s="1"/>
      <c r="F356" s="1"/>
      <c r="G356" s="2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9"/>
      <c r="D357" s="1"/>
      <c r="E357" s="1"/>
      <c r="F357" s="1"/>
      <c r="G357" s="2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9"/>
      <c r="D358" s="1"/>
      <c r="E358" s="1"/>
      <c r="F358" s="1"/>
      <c r="G358" s="2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9"/>
      <c r="D359" s="1"/>
      <c r="E359" s="1"/>
      <c r="F359" s="1"/>
      <c r="G359" s="2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9"/>
      <c r="D360" s="1"/>
      <c r="E360" s="1"/>
      <c r="F360" s="1"/>
      <c r="G360" s="2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9"/>
      <c r="D361" s="1"/>
      <c r="E361" s="1"/>
      <c r="F361" s="1"/>
      <c r="G361" s="2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9"/>
      <c r="D362" s="1"/>
      <c r="E362" s="1"/>
      <c r="F362" s="1"/>
      <c r="G362" s="2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9"/>
      <c r="D363" s="1"/>
      <c r="E363" s="1"/>
      <c r="F363" s="1"/>
      <c r="G363" s="2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9"/>
      <c r="D364" s="1"/>
      <c r="E364" s="1"/>
      <c r="F364" s="1"/>
      <c r="G364" s="2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9"/>
      <c r="D365" s="1"/>
      <c r="E365" s="1"/>
      <c r="F365" s="1"/>
      <c r="G365" s="2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9"/>
      <c r="D366" s="1"/>
      <c r="E366" s="1"/>
      <c r="F366" s="1"/>
      <c r="G366" s="2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9"/>
      <c r="D367" s="1"/>
      <c r="E367" s="1"/>
      <c r="F367" s="1"/>
      <c r="G367" s="2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9"/>
      <c r="D368" s="1"/>
      <c r="E368" s="1"/>
      <c r="F368" s="1"/>
      <c r="G368" s="2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9"/>
      <c r="D369" s="1"/>
      <c r="E369" s="1"/>
      <c r="F369" s="1"/>
      <c r="G369" s="2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9"/>
      <c r="D370" s="1"/>
      <c r="E370" s="1"/>
      <c r="F370" s="1"/>
      <c r="G370" s="2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9"/>
      <c r="D371" s="1"/>
      <c r="E371" s="1"/>
      <c r="F371" s="1"/>
      <c r="G371" s="2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9"/>
      <c r="D372" s="1"/>
      <c r="E372" s="1"/>
      <c r="F372" s="1"/>
      <c r="G372" s="2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9"/>
      <c r="D373" s="1"/>
      <c r="E373" s="1"/>
      <c r="F373" s="1"/>
      <c r="G373" s="2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9"/>
      <c r="D374" s="1"/>
      <c r="E374" s="1"/>
      <c r="F374" s="1"/>
      <c r="G374" s="2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9"/>
      <c r="D375" s="1"/>
      <c r="E375" s="1"/>
      <c r="F375" s="1"/>
      <c r="G375" s="2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9"/>
      <c r="D376" s="1"/>
      <c r="E376" s="1"/>
      <c r="F376" s="1"/>
      <c r="G376" s="2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9"/>
      <c r="D377" s="1"/>
      <c r="E377" s="1"/>
      <c r="F377" s="1"/>
      <c r="G377" s="2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9"/>
      <c r="D378" s="1"/>
      <c r="E378" s="1"/>
      <c r="F378" s="1"/>
      <c r="G378" s="2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9"/>
      <c r="D379" s="1"/>
      <c r="E379" s="1"/>
      <c r="F379" s="1"/>
      <c r="G379" s="2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9"/>
      <c r="D380" s="1"/>
      <c r="E380" s="1"/>
      <c r="F380" s="1"/>
      <c r="G380" s="2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9"/>
      <c r="D381" s="1"/>
      <c r="E381" s="1"/>
      <c r="F381" s="1"/>
      <c r="G381" s="2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9"/>
      <c r="D382" s="1"/>
      <c r="E382" s="1"/>
      <c r="F382" s="1"/>
      <c r="G382" s="2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9"/>
      <c r="D383" s="1"/>
      <c r="E383" s="1"/>
      <c r="F383" s="1"/>
      <c r="G383" s="2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9"/>
      <c r="D384" s="1"/>
      <c r="E384" s="1"/>
      <c r="F384" s="1"/>
      <c r="G384" s="2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9"/>
      <c r="D385" s="1"/>
      <c r="E385" s="1"/>
      <c r="F385" s="1"/>
      <c r="G385" s="2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9"/>
      <c r="D386" s="1"/>
      <c r="E386" s="1"/>
      <c r="F386" s="1"/>
      <c r="G386" s="2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9"/>
      <c r="D387" s="1"/>
      <c r="E387" s="1"/>
      <c r="F387" s="1"/>
      <c r="G387" s="2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9"/>
      <c r="D388" s="1"/>
      <c r="E388" s="1"/>
      <c r="F388" s="1"/>
      <c r="G388" s="2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9"/>
      <c r="D389" s="1"/>
      <c r="E389" s="1"/>
      <c r="F389" s="1"/>
      <c r="G389" s="2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9"/>
      <c r="D390" s="1"/>
      <c r="E390" s="1"/>
      <c r="F390" s="1"/>
      <c r="G390" s="2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9"/>
      <c r="D391" s="1"/>
      <c r="E391" s="1"/>
      <c r="F391" s="1"/>
      <c r="G391" s="2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9"/>
      <c r="D392" s="1"/>
      <c r="E392" s="1"/>
      <c r="F392" s="1"/>
      <c r="G392" s="2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9"/>
      <c r="D393" s="1"/>
      <c r="E393" s="1"/>
      <c r="F393" s="1"/>
      <c r="G393" s="2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9"/>
      <c r="D394" s="1"/>
      <c r="E394" s="1"/>
      <c r="F394" s="1"/>
      <c r="G394" s="2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9"/>
      <c r="D395" s="1"/>
      <c r="E395" s="1"/>
      <c r="F395" s="1"/>
      <c r="G395" s="2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9"/>
      <c r="D396" s="1"/>
      <c r="E396" s="1"/>
      <c r="F396" s="1"/>
      <c r="G396" s="2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9"/>
      <c r="D397" s="1"/>
      <c r="E397" s="1"/>
      <c r="F397" s="1"/>
      <c r="G397" s="2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9"/>
      <c r="D398" s="1"/>
      <c r="E398" s="1"/>
      <c r="F398" s="1"/>
      <c r="G398" s="2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9"/>
      <c r="D399" s="1"/>
      <c r="E399" s="1"/>
      <c r="F399" s="1"/>
      <c r="G399" s="2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9"/>
      <c r="D400" s="1"/>
      <c r="E400" s="1"/>
      <c r="F400" s="1"/>
      <c r="G400" s="2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9"/>
      <c r="D401" s="1"/>
      <c r="E401" s="1"/>
      <c r="F401" s="1"/>
      <c r="G401" s="2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9"/>
      <c r="D402" s="1"/>
      <c r="E402" s="1"/>
      <c r="F402" s="1"/>
      <c r="G402" s="2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9"/>
      <c r="D403" s="1"/>
      <c r="E403" s="1"/>
      <c r="F403" s="1"/>
      <c r="G403" s="2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9"/>
      <c r="D404" s="1"/>
      <c r="E404" s="1"/>
      <c r="F404" s="1"/>
      <c r="G404" s="2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9"/>
      <c r="D405" s="1"/>
      <c r="E405" s="1"/>
      <c r="F405" s="1"/>
      <c r="G405" s="2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9"/>
      <c r="D406" s="1"/>
      <c r="E406" s="1"/>
      <c r="F406" s="1"/>
      <c r="G406" s="2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9"/>
      <c r="D407" s="1"/>
      <c r="E407" s="1"/>
      <c r="F407" s="1"/>
      <c r="G407" s="2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9"/>
      <c r="D408" s="1"/>
      <c r="E408" s="1"/>
      <c r="F408" s="1"/>
      <c r="G408" s="2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9"/>
      <c r="D409" s="1"/>
      <c r="E409" s="1"/>
      <c r="F409" s="1"/>
      <c r="G409" s="2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9"/>
      <c r="D410" s="1"/>
      <c r="E410" s="1"/>
      <c r="F410" s="1"/>
      <c r="G410" s="2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9"/>
      <c r="D411" s="1"/>
      <c r="E411" s="1"/>
      <c r="F411" s="1"/>
      <c r="G411" s="2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9"/>
      <c r="D412" s="1"/>
      <c r="E412" s="1"/>
      <c r="F412" s="1"/>
      <c r="G412" s="2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9"/>
      <c r="D413" s="1"/>
      <c r="E413" s="1"/>
      <c r="F413" s="1"/>
      <c r="G413" s="2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9"/>
      <c r="D414" s="1"/>
      <c r="E414" s="1"/>
      <c r="F414" s="1"/>
      <c r="G414" s="2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9"/>
      <c r="D415" s="1"/>
      <c r="E415" s="1"/>
      <c r="F415" s="1"/>
      <c r="G415" s="2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9"/>
      <c r="D416" s="1"/>
      <c r="E416" s="1"/>
      <c r="F416" s="1"/>
      <c r="G416" s="2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9"/>
      <c r="D417" s="1"/>
      <c r="E417" s="1"/>
      <c r="F417" s="1"/>
      <c r="G417" s="2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9"/>
      <c r="D418" s="1"/>
      <c r="E418" s="1"/>
      <c r="F418" s="1"/>
      <c r="G418" s="2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9"/>
      <c r="D419" s="1"/>
      <c r="E419" s="1"/>
      <c r="F419" s="1"/>
      <c r="G419" s="2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9"/>
      <c r="D420" s="1"/>
      <c r="E420" s="1"/>
      <c r="F420" s="1"/>
      <c r="G420" s="2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9"/>
      <c r="D421" s="1"/>
      <c r="E421" s="1"/>
      <c r="F421" s="1"/>
      <c r="G421" s="2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9"/>
      <c r="D422" s="1"/>
      <c r="E422" s="1"/>
      <c r="F422" s="1"/>
      <c r="G422" s="2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9"/>
      <c r="D423" s="1"/>
      <c r="E423" s="1"/>
      <c r="F423" s="1"/>
      <c r="G423" s="2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9"/>
      <c r="D424" s="1"/>
      <c r="E424" s="1"/>
      <c r="F424" s="1"/>
      <c r="G424" s="2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9"/>
      <c r="D425" s="1"/>
      <c r="E425" s="1"/>
      <c r="F425" s="1"/>
      <c r="G425" s="2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9"/>
      <c r="D426" s="1"/>
      <c r="E426" s="1"/>
      <c r="F426" s="1"/>
      <c r="G426" s="2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9"/>
      <c r="D427" s="1"/>
      <c r="E427" s="1"/>
      <c r="F427" s="1"/>
      <c r="G427" s="2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9"/>
      <c r="D428" s="1"/>
      <c r="E428" s="1"/>
      <c r="F428" s="1"/>
      <c r="G428" s="2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9"/>
      <c r="D429" s="1"/>
      <c r="E429" s="1"/>
      <c r="F429" s="1"/>
      <c r="G429" s="2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9"/>
      <c r="D430" s="1"/>
      <c r="E430" s="1"/>
      <c r="F430" s="1"/>
      <c r="G430" s="2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9"/>
      <c r="D431" s="1"/>
      <c r="E431" s="1"/>
      <c r="F431" s="1"/>
      <c r="G431" s="2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9"/>
      <c r="D432" s="1"/>
      <c r="E432" s="1"/>
      <c r="F432" s="1"/>
      <c r="G432" s="2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9"/>
      <c r="D433" s="1"/>
      <c r="E433" s="1"/>
      <c r="F433" s="1"/>
      <c r="G433" s="2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9"/>
      <c r="D434" s="1"/>
      <c r="E434" s="1"/>
      <c r="F434" s="1"/>
      <c r="G434" s="2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9"/>
      <c r="D435" s="1"/>
      <c r="E435" s="1"/>
      <c r="F435" s="1"/>
      <c r="G435" s="2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9"/>
      <c r="D436" s="1"/>
      <c r="E436" s="1"/>
      <c r="F436" s="1"/>
      <c r="G436" s="2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9"/>
      <c r="D437" s="1"/>
      <c r="E437" s="1"/>
      <c r="F437" s="1"/>
      <c r="G437" s="2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9"/>
      <c r="D438" s="1"/>
      <c r="E438" s="1"/>
      <c r="F438" s="1"/>
      <c r="G438" s="2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9"/>
      <c r="D439" s="1"/>
      <c r="E439" s="1"/>
      <c r="F439" s="1"/>
      <c r="G439" s="2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9"/>
      <c r="D440" s="1"/>
      <c r="E440" s="1"/>
      <c r="F440" s="1"/>
      <c r="G440" s="2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9"/>
      <c r="D441" s="1"/>
      <c r="E441" s="1"/>
      <c r="F441" s="1"/>
      <c r="G441" s="2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9"/>
      <c r="D442" s="1"/>
      <c r="E442" s="1"/>
      <c r="F442" s="1"/>
      <c r="G442" s="2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9"/>
      <c r="D443" s="1"/>
      <c r="E443" s="1"/>
      <c r="F443" s="1"/>
      <c r="G443" s="2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9"/>
      <c r="D444" s="1"/>
      <c r="E444" s="1"/>
      <c r="F444" s="1"/>
      <c r="G444" s="2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9"/>
      <c r="D445" s="1"/>
      <c r="E445" s="1"/>
      <c r="F445" s="1"/>
      <c r="G445" s="2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9"/>
      <c r="D446" s="1"/>
      <c r="E446" s="1"/>
      <c r="F446" s="1"/>
      <c r="G446" s="2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9"/>
      <c r="D447" s="1"/>
      <c r="E447" s="1"/>
      <c r="F447" s="1"/>
      <c r="G447" s="2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9"/>
      <c r="D448" s="1"/>
      <c r="E448" s="1"/>
      <c r="F448" s="1"/>
      <c r="G448" s="2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9"/>
      <c r="D449" s="1"/>
      <c r="E449" s="1"/>
      <c r="F449" s="1"/>
      <c r="G449" s="2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9"/>
      <c r="D450" s="1"/>
      <c r="E450" s="1"/>
      <c r="F450" s="1"/>
      <c r="G450" s="2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9"/>
      <c r="D451" s="1"/>
      <c r="E451" s="1"/>
      <c r="F451" s="1"/>
      <c r="G451" s="2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9"/>
      <c r="D452" s="1"/>
      <c r="E452" s="1"/>
      <c r="F452" s="1"/>
      <c r="G452" s="2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9"/>
      <c r="D453" s="1"/>
      <c r="E453" s="1"/>
      <c r="F453" s="1"/>
      <c r="G453" s="2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9"/>
      <c r="D454" s="1"/>
      <c r="E454" s="1"/>
      <c r="F454" s="1"/>
      <c r="G454" s="2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9"/>
      <c r="D455" s="1"/>
      <c r="E455" s="1"/>
      <c r="F455" s="1"/>
      <c r="G455" s="2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9"/>
      <c r="D456" s="1"/>
      <c r="E456" s="1"/>
      <c r="F456" s="1"/>
      <c r="G456" s="2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9"/>
      <c r="D457" s="1"/>
      <c r="E457" s="1"/>
      <c r="F457" s="1"/>
      <c r="G457" s="2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9"/>
      <c r="D458" s="1"/>
      <c r="E458" s="1"/>
      <c r="F458" s="1"/>
      <c r="G458" s="2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9"/>
      <c r="D459" s="1"/>
      <c r="E459" s="1"/>
      <c r="F459" s="1"/>
      <c r="G459" s="2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9"/>
      <c r="D460" s="1"/>
      <c r="E460" s="1"/>
      <c r="F460" s="1"/>
      <c r="G460" s="2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9"/>
      <c r="D461" s="1"/>
      <c r="E461" s="1"/>
      <c r="F461" s="1"/>
      <c r="G461" s="2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9"/>
      <c r="D462" s="1"/>
      <c r="E462" s="1"/>
      <c r="F462" s="1"/>
      <c r="G462" s="2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9"/>
      <c r="D463" s="1"/>
      <c r="E463" s="1"/>
      <c r="F463" s="1"/>
      <c r="G463" s="2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9"/>
      <c r="D464" s="1"/>
      <c r="E464" s="1"/>
      <c r="F464" s="1"/>
      <c r="G464" s="2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9"/>
      <c r="D465" s="1"/>
      <c r="E465" s="1"/>
      <c r="F465" s="1"/>
      <c r="G465" s="2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9"/>
      <c r="D466" s="1"/>
      <c r="E466" s="1"/>
      <c r="F466" s="1"/>
      <c r="G466" s="2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9"/>
      <c r="D467" s="1"/>
      <c r="E467" s="1"/>
      <c r="F467" s="1"/>
      <c r="G467" s="2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9"/>
      <c r="D468" s="1"/>
      <c r="E468" s="1"/>
      <c r="F468" s="1"/>
      <c r="G468" s="2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9"/>
      <c r="D469" s="1"/>
      <c r="E469" s="1"/>
      <c r="F469" s="1"/>
      <c r="G469" s="2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9"/>
      <c r="D470" s="1"/>
      <c r="E470" s="1"/>
      <c r="F470" s="1"/>
      <c r="G470" s="2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9"/>
      <c r="D471" s="1"/>
      <c r="E471" s="1"/>
      <c r="F471" s="1"/>
      <c r="G471" s="2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9"/>
      <c r="D472" s="1"/>
      <c r="E472" s="1"/>
      <c r="F472" s="1"/>
      <c r="G472" s="2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9"/>
      <c r="D473" s="1"/>
      <c r="E473" s="1"/>
      <c r="F473" s="1"/>
      <c r="G473" s="2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9"/>
      <c r="D474" s="1"/>
      <c r="E474" s="1"/>
      <c r="F474" s="1"/>
      <c r="G474" s="2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9"/>
      <c r="D475" s="1"/>
      <c r="E475" s="1"/>
      <c r="F475" s="1"/>
      <c r="G475" s="2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9"/>
      <c r="D476" s="1"/>
      <c r="E476" s="1"/>
      <c r="F476" s="1"/>
      <c r="G476" s="2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9"/>
      <c r="D477" s="1"/>
      <c r="E477" s="1"/>
      <c r="F477" s="1"/>
      <c r="G477" s="2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9"/>
      <c r="D478" s="1"/>
      <c r="E478" s="1"/>
      <c r="F478" s="1"/>
      <c r="G478" s="2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9"/>
      <c r="D479" s="1"/>
      <c r="E479" s="1"/>
      <c r="F479" s="1"/>
      <c r="G479" s="2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9"/>
      <c r="D480" s="1"/>
      <c r="E480" s="1"/>
      <c r="F480" s="1"/>
      <c r="G480" s="2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9"/>
      <c r="D481" s="1"/>
      <c r="E481" s="1"/>
      <c r="F481" s="1"/>
      <c r="G481" s="2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9"/>
      <c r="D482" s="1"/>
      <c r="E482" s="1"/>
      <c r="F482" s="1"/>
      <c r="G482" s="2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9"/>
      <c r="D483" s="1"/>
      <c r="E483" s="1"/>
      <c r="F483" s="1"/>
      <c r="G483" s="2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9"/>
      <c r="D484" s="1"/>
      <c r="E484" s="1"/>
      <c r="F484" s="1"/>
      <c r="G484" s="2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9"/>
      <c r="D485" s="1"/>
      <c r="E485" s="1"/>
      <c r="F485" s="1"/>
      <c r="G485" s="2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9"/>
      <c r="D486" s="1"/>
      <c r="E486" s="1"/>
      <c r="F486" s="1"/>
      <c r="G486" s="2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9"/>
      <c r="D487" s="1"/>
      <c r="E487" s="1"/>
      <c r="F487" s="1"/>
      <c r="G487" s="2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9"/>
      <c r="D488" s="1"/>
      <c r="E488" s="1"/>
      <c r="F488" s="1"/>
      <c r="G488" s="2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9"/>
      <c r="D489" s="1"/>
      <c r="E489" s="1"/>
      <c r="F489" s="1"/>
      <c r="G489" s="2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9"/>
      <c r="D490" s="1"/>
      <c r="E490" s="1"/>
      <c r="F490" s="1"/>
      <c r="G490" s="2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9"/>
      <c r="D491" s="1"/>
      <c r="E491" s="1"/>
      <c r="F491" s="1"/>
      <c r="G491" s="2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C492" s="184"/>
      <c r="G492" s="185"/>
    </row>
    <row r="493" ht="15.75" customHeight="1">
      <c r="C493" s="184"/>
      <c r="G493" s="185"/>
    </row>
    <row r="494" ht="15.75" customHeight="1">
      <c r="C494" s="184"/>
      <c r="G494" s="185"/>
    </row>
    <row r="495" ht="15.75" customHeight="1">
      <c r="C495" s="184"/>
      <c r="G495" s="185"/>
    </row>
    <row r="496" ht="15.75" customHeight="1">
      <c r="C496" s="184"/>
      <c r="G496" s="185"/>
    </row>
    <row r="497" ht="15.75" customHeight="1">
      <c r="C497" s="184"/>
      <c r="G497" s="185"/>
    </row>
    <row r="498" ht="15.75" customHeight="1">
      <c r="C498" s="184"/>
      <c r="G498" s="185"/>
    </row>
    <row r="499" ht="15.75" customHeight="1">
      <c r="C499" s="184"/>
      <c r="G499" s="185"/>
    </row>
    <row r="500" ht="15.75" customHeight="1">
      <c r="C500" s="184"/>
      <c r="G500" s="185"/>
    </row>
    <row r="501" ht="15.75" customHeight="1">
      <c r="C501" s="184"/>
      <c r="G501" s="185"/>
    </row>
    <row r="502" ht="15.75" customHeight="1">
      <c r="C502" s="184"/>
      <c r="G502" s="185"/>
    </row>
    <row r="503" ht="15.75" customHeight="1">
      <c r="C503" s="184"/>
      <c r="G503" s="185"/>
    </row>
    <row r="504" ht="15.75" customHeight="1">
      <c r="C504" s="184"/>
      <c r="G504" s="185"/>
    </row>
    <row r="505" ht="15.75" customHeight="1">
      <c r="C505" s="184"/>
      <c r="G505" s="185"/>
    </row>
    <row r="506" ht="15.75" customHeight="1">
      <c r="C506" s="184"/>
      <c r="G506" s="185"/>
    </row>
    <row r="507" ht="15.75" customHeight="1">
      <c r="C507" s="184"/>
      <c r="G507" s="185"/>
    </row>
    <row r="508" ht="15.75" customHeight="1">
      <c r="C508" s="184"/>
      <c r="G508" s="185"/>
    </row>
    <row r="509" ht="15.75" customHeight="1">
      <c r="C509" s="184"/>
      <c r="G509" s="185"/>
    </row>
    <row r="510" ht="15.75" customHeight="1">
      <c r="C510" s="184"/>
      <c r="G510" s="185"/>
    </row>
    <row r="511" ht="15.75" customHeight="1">
      <c r="C511" s="184"/>
      <c r="G511" s="185"/>
    </row>
    <row r="512" ht="15.75" customHeight="1">
      <c r="C512" s="184"/>
      <c r="G512" s="185"/>
    </row>
    <row r="513" ht="15.75" customHeight="1">
      <c r="C513" s="184"/>
      <c r="G513" s="185"/>
    </row>
    <row r="514" ht="15.75" customHeight="1">
      <c r="C514" s="184"/>
      <c r="G514" s="185"/>
    </row>
    <row r="515" ht="15.75" customHeight="1">
      <c r="C515" s="184"/>
      <c r="G515" s="185"/>
    </row>
    <row r="516" ht="15.75" customHeight="1">
      <c r="C516" s="184"/>
      <c r="G516" s="185"/>
    </row>
    <row r="517" ht="15.75" customHeight="1">
      <c r="C517" s="184"/>
      <c r="G517" s="185"/>
    </row>
    <row r="518" ht="15.75" customHeight="1">
      <c r="C518" s="184"/>
      <c r="G518" s="185"/>
    </row>
    <row r="519" ht="15.75" customHeight="1">
      <c r="C519" s="184"/>
      <c r="G519" s="185"/>
    </row>
    <row r="520" ht="15.75" customHeight="1">
      <c r="C520" s="184"/>
      <c r="G520" s="185"/>
    </row>
    <row r="521" ht="15.75" customHeight="1">
      <c r="C521" s="184"/>
      <c r="G521" s="185"/>
    </row>
    <row r="522" ht="15.75" customHeight="1">
      <c r="C522" s="184"/>
      <c r="G522" s="185"/>
    </row>
    <row r="523" ht="15.75" customHeight="1">
      <c r="C523" s="184"/>
      <c r="G523" s="185"/>
    </row>
    <row r="524" ht="15.75" customHeight="1">
      <c r="C524" s="184"/>
      <c r="G524" s="185"/>
    </row>
    <row r="525" ht="15.75" customHeight="1">
      <c r="C525" s="184"/>
      <c r="G525" s="185"/>
    </row>
    <row r="526" ht="15.75" customHeight="1">
      <c r="C526" s="184"/>
      <c r="G526" s="185"/>
    </row>
    <row r="527" ht="15.75" customHeight="1">
      <c r="C527" s="184"/>
      <c r="G527" s="185"/>
    </row>
    <row r="528" ht="15.75" customHeight="1">
      <c r="C528" s="184"/>
      <c r="G528" s="185"/>
    </row>
    <row r="529" ht="15.75" customHeight="1">
      <c r="C529" s="184"/>
      <c r="G529" s="185"/>
    </row>
    <row r="530" ht="15.75" customHeight="1">
      <c r="C530" s="184"/>
      <c r="G530" s="185"/>
    </row>
    <row r="531" ht="15.75" customHeight="1">
      <c r="C531" s="184"/>
      <c r="G531" s="185"/>
    </row>
    <row r="532" ht="15.75" customHeight="1">
      <c r="C532" s="184"/>
      <c r="G532" s="185"/>
    </row>
    <row r="533" ht="15.75" customHeight="1">
      <c r="C533" s="184"/>
      <c r="G533" s="185"/>
    </row>
    <row r="534" ht="15.75" customHeight="1">
      <c r="C534" s="184"/>
      <c r="G534" s="185"/>
    </row>
    <row r="535" ht="15.75" customHeight="1">
      <c r="C535" s="184"/>
      <c r="G535" s="185"/>
    </row>
    <row r="536" ht="15.75" customHeight="1">
      <c r="C536" s="184"/>
      <c r="G536" s="185"/>
    </row>
    <row r="537" ht="15.75" customHeight="1">
      <c r="C537" s="184"/>
      <c r="G537" s="185"/>
    </row>
    <row r="538" ht="15.75" customHeight="1">
      <c r="C538" s="184"/>
      <c r="G538" s="185"/>
    </row>
    <row r="539" ht="15.75" customHeight="1">
      <c r="C539" s="184"/>
      <c r="G539" s="185"/>
    </row>
    <row r="540" ht="15.75" customHeight="1">
      <c r="C540" s="184"/>
      <c r="G540" s="185"/>
    </row>
    <row r="541" ht="15.75" customHeight="1">
      <c r="C541" s="184"/>
      <c r="G541" s="185"/>
    </row>
    <row r="542" ht="15.75" customHeight="1">
      <c r="C542" s="184"/>
      <c r="G542" s="185"/>
    </row>
    <row r="543" ht="15.75" customHeight="1">
      <c r="C543" s="184"/>
      <c r="G543" s="185"/>
    </row>
    <row r="544" ht="15.75" customHeight="1">
      <c r="C544" s="184"/>
      <c r="G544" s="185"/>
    </row>
    <row r="545" ht="15.75" customHeight="1">
      <c r="C545" s="184"/>
      <c r="G545" s="185"/>
    </row>
    <row r="546" ht="15.75" customHeight="1">
      <c r="C546" s="184"/>
      <c r="G546" s="185"/>
    </row>
    <row r="547" ht="15.75" customHeight="1">
      <c r="C547" s="184"/>
      <c r="G547" s="185"/>
    </row>
    <row r="548" ht="15.75" customHeight="1">
      <c r="C548" s="184"/>
      <c r="G548" s="185"/>
    </row>
    <row r="549" ht="15.75" customHeight="1">
      <c r="C549" s="184"/>
      <c r="G549" s="185"/>
    </row>
    <row r="550" ht="15.75" customHeight="1">
      <c r="C550" s="184"/>
      <c r="G550" s="185"/>
    </row>
    <row r="551" ht="15.75" customHeight="1">
      <c r="C551" s="184"/>
      <c r="G551" s="185"/>
    </row>
    <row r="552" ht="15.75" customHeight="1">
      <c r="C552" s="184"/>
      <c r="G552" s="185"/>
    </row>
    <row r="553" ht="15.75" customHeight="1">
      <c r="C553" s="184"/>
      <c r="G553" s="185"/>
    </row>
    <row r="554" ht="15.75" customHeight="1">
      <c r="C554" s="184"/>
      <c r="G554" s="185"/>
    </row>
    <row r="555" ht="15.75" customHeight="1">
      <c r="C555" s="184"/>
      <c r="G555" s="185"/>
    </row>
    <row r="556" ht="15.75" customHeight="1">
      <c r="C556" s="184"/>
      <c r="G556" s="185"/>
    </row>
    <row r="557" ht="15.75" customHeight="1">
      <c r="C557" s="184"/>
      <c r="G557" s="185"/>
    </row>
    <row r="558" ht="15.75" customHeight="1">
      <c r="C558" s="184"/>
      <c r="G558" s="185"/>
    </row>
    <row r="559" ht="15.75" customHeight="1">
      <c r="C559" s="184"/>
      <c r="G559" s="185"/>
    </row>
    <row r="560" ht="15.75" customHeight="1">
      <c r="C560" s="184"/>
      <c r="G560" s="185"/>
    </row>
    <row r="561" ht="15.75" customHeight="1">
      <c r="C561" s="184"/>
      <c r="G561" s="185"/>
    </row>
    <row r="562" ht="15.75" customHeight="1">
      <c r="C562" s="184"/>
      <c r="G562" s="185"/>
    </row>
    <row r="563" ht="15.75" customHeight="1">
      <c r="C563" s="184"/>
      <c r="G563" s="185"/>
    </row>
    <row r="564" ht="15.75" customHeight="1">
      <c r="C564" s="184"/>
      <c r="G564" s="185"/>
    </row>
    <row r="565" ht="15.75" customHeight="1">
      <c r="C565" s="184"/>
      <c r="G565" s="185"/>
    </row>
    <row r="566" ht="15.75" customHeight="1">
      <c r="C566" s="184"/>
      <c r="G566" s="185"/>
    </row>
    <row r="567" ht="15.75" customHeight="1">
      <c r="C567" s="184"/>
      <c r="G567" s="185"/>
    </row>
    <row r="568" ht="15.75" customHeight="1">
      <c r="C568" s="184"/>
      <c r="G568" s="185"/>
    </row>
    <row r="569" ht="15.75" customHeight="1">
      <c r="C569" s="184"/>
      <c r="G569" s="185"/>
    </row>
    <row r="570" ht="15.75" customHeight="1">
      <c r="C570" s="184"/>
      <c r="G570" s="185"/>
    </row>
    <row r="571" ht="15.75" customHeight="1">
      <c r="C571" s="184"/>
      <c r="G571" s="185"/>
    </row>
    <row r="572" ht="15.75" customHeight="1">
      <c r="C572" s="184"/>
      <c r="G572" s="185"/>
    </row>
    <row r="573" ht="15.75" customHeight="1">
      <c r="C573" s="184"/>
      <c r="G573" s="185"/>
    </row>
    <row r="574" ht="15.75" customHeight="1">
      <c r="C574" s="184"/>
      <c r="G574" s="185"/>
    </row>
    <row r="575" ht="15.75" customHeight="1">
      <c r="C575" s="184"/>
      <c r="G575" s="185"/>
    </row>
    <row r="576" ht="15.75" customHeight="1">
      <c r="C576" s="184"/>
      <c r="G576" s="185"/>
    </row>
    <row r="577" ht="15.75" customHeight="1">
      <c r="C577" s="184"/>
      <c r="G577" s="185"/>
    </row>
    <row r="578" ht="15.75" customHeight="1">
      <c r="C578" s="184"/>
      <c r="G578" s="185"/>
    </row>
    <row r="579" ht="15.75" customHeight="1">
      <c r="C579" s="184"/>
      <c r="G579" s="185"/>
    </row>
    <row r="580" ht="15.75" customHeight="1">
      <c r="C580" s="184"/>
      <c r="G580" s="185"/>
    </row>
    <row r="581" ht="15.75" customHeight="1">
      <c r="C581" s="184"/>
      <c r="G581" s="185"/>
    </row>
    <row r="582" ht="15.75" customHeight="1">
      <c r="C582" s="184"/>
      <c r="G582" s="185"/>
    </row>
    <row r="583" ht="15.75" customHeight="1">
      <c r="C583" s="184"/>
      <c r="G583" s="185"/>
    </row>
    <row r="584" ht="15.75" customHeight="1">
      <c r="C584" s="184"/>
      <c r="G584" s="185"/>
    </row>
    <row r="585" ht="15.75" customHeight="1">
      <c r="C585" s="184"/>
      <c r="G585" s="185"/>
    </row>
    <row r="586" ht="15.75" customHeight="1">
      <c r="C586" s="184"/>
      <c r="G586" s="185"/>
    </row>
    <row r="587" ht="15.75" customHeight="1">
      <c r="C587" s="184"/>
      <c r="G587" s="185"/>
    </row>
    <row r="588" ht="15.75" customHeight="1">
      <c r="C588" s="184"/>
      <c r="G588" s="185"/>
    </row>
    <row r="589" ht="15.75" customHeight="1">
      <c r="C589" s="184"/>
      <c r="G589" s="185"/>
    </row>
    <row r="590" ht="15.75" customHeight="1">
      <c r="C590" s="184"/>
      <c r="G590" s="185"/>
    </row>
    <row r="591" ht="15.75" customHeight="1">
      <c r="C591" s="184"/>
      <c r="G591" s="185"/>
    </row>
    <row r="592" ht="15.75" customHeight="1">
      <c r="C592" s="184"/>
      <c r="G592" s="185"/>
    </row>
    <row r="593" ht="15.75" customHeight="1">
      <c r="C593" s="184"/>
      <c r="G593" s="185"/>
    </row>
    <row r="594" ht="15.75" customHeight="1">
      <c r="C594" s="184"/>
      <c r="G594" s="185"/>
    </row>
    <row r="595" ht="15.75" customHeight="1">
      <c r="C595" s="184"/>
      <c r="G595" s="185"/>
    </row>
    <row r="596" ht="15.75" customHeight="1">
      <c r="C596" s="184"/>
      <c r="G596" s="185"/>
    </row>
    <row r="597" ht="15.75" customHeight="1">
      <c r="C597" s="184"/>
      <c r="G597" s="185"/>
    </row>
    <row r="598" ht="15.75" customHeight="1">
      <c r="C598" s="184"/>
      <c r="G598" s="185"/>
    </row>
    <row r="599" ht="15.75" customHeight="1">
      <c r="C599" s="184"/>
      <c r="G599" s="185"/>
    </row>
    <row r="600" ht="15.75" customHeight="1">
      <c r="C600" s="184"/>
      <c r="G600" s="185"/>
    </row>
    <row r="601" ht="15.75" customHeight="1">
      <c r="C601" s="184"/>
      <c r="G601" s="185"/>
    </row>
    <row r="602" ht="15.75" customHeight="1">
      <c r="C602" s="184"/>
      <c r="G602" s="185"/>
    </row>
    <row r="603" ht="15.75" customHeight="1">
      <c r="C603" s="184"/>
      <c r="G603" s="185"/>
    </row>
    <row r="604" ht="15.75" customHeight="1">
      <c r="C604" s="184"/>
      <c r="G604" s="185"/>
    </row>
    <row r="605" ht="15.75" customHeight="1">
      <c r="C605" s="184"/>
      <c r="G605" s="185"/>
    </row>
    <row r="606" ht="15.75" customHeight="1">
      <c r="C606" s="184"/>
      <c r="G606" s="185"/>
    </row>
    <row r="607" ht="15.75" customHeight="1">
      <c r="C607" s="184"/>
      <c r="G607" s="185"/>
    </row>
    <row r="608" ht="15.75" customHeight="1">
      <c r="C608" s="184"/>
      <c r="G608" s="185"/>
    </row>
    <row r="609" ht="15.75" customHeight="1">
      <c r="C609" s="184"/>
      <c r="G609" s="185"/>
    </row>
    <row r="610" ht="15.75" customHeight="1">
      <c r="C610" s="184"/>
      <c r="G610" s="185"/>
    </row>
    <row r="611" ht="15.75" customHeight="1">
      <c r="C611" s="184"/>
      <c r="G611" s="185"/>
    </row>
    <row r="612" ht="15.75" customHeight="1">
      <c r="C612" s="184"/>
      <c r="G612" s="185"/>
    </row>
    <row r="613" ht="15.75" customHeight="1">
      <c r="C613" s="184"/>
      <c r="G613" s="185"/>
    </row>
    <row r="614" ht="15.75" customHeight="1">
      <c r="C614" s="184"/>
      <c r="G614" s="185"/>
    </row>
    <row r="615" ht="15.75" customHeight="1">
      <c r="C615" s="184"/>
      <c r="G615" s="185"/>
    </row>
    <row r="616" ht="15.75" customHeight="1">
      <c r="C616" s="184"/>
      <c r="G616" s="185"/>
    </row>
    <row r="617" ht="15.75" customHeight="1">
      <c r="C617" s="184"/>
      <c r="G617" s="185"/>
    </row>
    <row r="618" ht="15.75" customHeight="1">
      <c r="C618" s="184"/>
      <c r="G618" s="185"/>
    </row>
    <row r="619" ht="15.75" customHeight="1">
      <c r="C619" s="184"/>
      <c r="G619" s="185"/>
    </row>
    <row r="620" ht="15.75" customHeight="1">
      <c r="C620" s="184"/>
      <c r="G620" s="185"/>
    </row>
    <row r="621" ht="15.75" customHeight="1">
      <c r="C621" s="184"/>
      <c r="G621" s="185"/>
    </row>
    <row r="622" ht="15.75" customHeight="1">
      <c r="C622" s="184"/>
      <c r="G622" s="185"/>
    </row>
    <row r="623" ht="15.75" customHeight="1">
      <c r="C623" s="184"/>
      <c r="G623" s="185"/>
    </row>
    <row r="624" ht="15.75" customHeight="1">
      <c r="C624" s="184"/>
      <c r="G624" s="185"/>
    </row>
    <row r="625" ht="15.75" customHeight="1">
      <c r="C625" s="184"/>
      <c r="G625" s="185"/>
    </row>
    <row r="626" ht="15.75" customHeight="1">
      <c r="C626" s="184"/>
      <c r="G626" s="185"/>
    </row>
    <row r="627" ht="15.75" customHeight="1">
      <c r="C627" s="184"/>
      <c r="G627" s="185"/>
    </row>
    <row r="628" ht="15.75" customHeight="1">
      <c r="C628" s="184"/>
      <c r="G628" s="185"/>
    </row>
    <row r="629" ht="15.75" customHeight="1">
      <c r="C629" s="184"/>
      <c r="G629" s="185"/>
    </row>
    <row r="630" ht="15.75" customHeight="1">
      <c r="C630" s="184"/>
      <c r="G630" s="185"/>
    </row>
    <row r="631" ht="15.75" customHeight="1">
      <c r="C631" s="184"/>
      <c r="G631" s="185"/>
    </row>
    <row r="632" ht="15.75" customHeight="1">
      <c r="C632" s="184"/>
      <c r="G632" s="185"/>
    </row>
    <row r="633" ht="15.75" customHeight="1">
      <c r="C633" s="184"/>
      <c r="G633" s="185"/>
    </row>
    <row r="634" ht="15.75" customHeight="1">
      <c r="C634" s="184"/>
      <c r="G634" s="185"/>
    </row>
    <row r="635" ht="15.75" customHeight="1">
      <c r="C635" s="184"/>
      <c r="G635" s="185"/>
    </row>
    <row r="636" ht="15.75" customHeight="1">
      <c r="C636" s="184"/>
      <c r="G636" s="185"/>
    </row>
    <row r="637" ht="15.75" customHeight="1">
      <c r="C637" s="184"/>
      <c r="G637" s="185"/>
    </row>
    <row r="638" ht="15.75" customHeight="1">
      <c r="C638" s="184"/>
      <c r="G638" s="185"/>
    </row>
    <row r="639" ht="15.75" customHeight="1">
      <c r="C639" s="184"/>
      <c r="G639" s="185"/>
    </row>
    <row r="640" ht="15.75" customHeight="1">
      <c r="C640" s="184"/>
      <c r="G640" s="185"/>
    </row>
    <row r="641" ht="15.75" customHeight="1">
      <c r="C641" s="184"/>
      <c r="G641" s="185"/>
    </row>
    <row r="642" ht="15.75" customHeight="1">
      <c r="C642" s="184"/>
      <c r="G642" s="185"/>
    </row>
    <row r="643" ht="15.75" customHeight="1">
      <c r="C643" s="184"/>
      <c r="G643" s="185"/>
    </row>
    <row r="644" ht="15.75" customHeight="1">
      <c r="C644" s="184"/>
      <c r="G644" s="185"/>
    </row>
    <row r="645" ht="15.75" customHeight="1">
      <c r="C645" s="184"/>
      <c r="G645" s="185"/>
    </row>
    <row r="646" ht="15.75" customHeight="1">
      <c r="C646" s="184"/>
      <c r="G646" s="185"/>
    </row>
    <row r="647" ht="15.75" customHeight="1">
      <c r="C647" s="184"/>
      <c r="G647" s="185"/>
    </row>
    <row r="648" ht="15.75" customHeight="1">
      <c r="C648" s="184"/>
      <c r="G648" s="185"/>
    </row>
    <row r="649" ht="15.75" customHeight="1">
      <c r="C649" s="184"/>
      <c r="G649" s="185"/>
    </row>
    <row r="650" ht="15.75" customHeight="1">
      <c r="C650" s="184"/>
      <c r="G650" s="185"/>
    </row>
    <row r="651" ht="15.75" customHeight="1">
      <c r="C651" s="184"/>
      <c r="G651" s="185"/>
    </row>
    <row r="652" ht="15.75" customHeight="1">
      <c r="C652" s="184"/>
      <c r="G652" s="185"/>
    </row>
    <row r="653" ht="15.75" customHeight="1">
      <c r="C653" s="184"/>
      <c r="G653" s="185"/>
    </row>
    <row r="654" ht="15.75" customHeight="1">
      <c r="C654" s="184"/>
      <c r="G654" s="185"/>
    </row>
    <row r="655" ht="15.75" customHeight="1">
      <c r="C655" s="184"/>
      <c r="G655" s="185"/>
    </row>
    <row r="656" ht="15.75" customHeight="1">
      <c r="C656" s="184"/>
      <c r="G656" s="185"/>
    </row>
    <row r="657" ht="15.75" customHeight="1">
      <c r="C657" s="184"/>
      <c r="G657" s="185"/>
    </row>
    <row r="658" ht="15.75" customHeight="1">
      <c r="C658" s="184"/>
      <c r="G658" s="185"/>
    </row>
    <row r="659" ht="15.75" customHeight="1">
      <c r="C659" s="184"/>
      <c r="G659" s="185"/>
    </row>
    <row r="660" ht="15.75" customHeight="1">
      <c r="C660" s="184"/>
      <c r="G660" s="185"/>
    </row>
    <row r="661" ht="15.75" customHeight="1">
      <c r="C661" s="184"/>
      <c r="G661" s="185"/>
    </row>
    <row r="662" ht="15.75" customHeight="1">
      <c r="C662" s="184"/>
      <c r="G662" s="185"/>
    </row>
    <row r="663" ht="15.75" customHeight="1">
      <c r="C663" s="184"/>
      <c r="G663" s="185"/>
    </row>
    <row r="664" ht="15.75" customHeight="1">
      <c r="C664" s="184"/>
      <c r="G664" s="185"/>
    </row>
    <row r="665" ht="15.75" customHeight="1">
      <c r="C665" s="184"/>
      <c r="G665" s="185"/>
    </row>
    <row r="666" ht="15.75" customHeight="1">
      <c r="C666" s="184"/>
      <c r="G666" s="185"/>
    </row>
    <row r="667" ht="15.75" customHeight="1">
      <c r="C667" s="184"/>
      <c r="G667" s="185"/>
    </row>
    <row r="668" ht="15.75" customHeight="1">
      <c r="C668" s="184"/>
      <c r="G668" s="185"/>
    </row>
    <row r="669" ht="15.75" customHeight="1">
      <c r="C669" s="184"/>
      <c r="G669" s="185"/>
    </row>
    <row r="670" ht="15.75" customHeight="1">
      <c r="C670" s="184"/>
      <c r="G670" s="185"/>
    </row>
    <row r="671" ht="15.75" customHeight="1">
      <c r="C671" s="184"/>
      <c r="G671" s="185"/>
    </row>
    <row r="672" ht="15.75" customHeight="1">
      <c r="C672" s="184"/>
      <c r="G672" s="185"/>
    </row>
    <row r="673" ht="15.75" customHeight="1">
      <c r="C673" s="184"/>
      <c r="G673" s="185"/>
    </row>
    <row r="674" ht="15.75" customHeight="1">
      <c r="C674" s="184"/>
      <c r="G674" s="185"/>
    </row>
    <row r="675" ht="15.75" customHeight="1">
      <c r="C675" s="184"/>
      <c r="G675" s="185"/>
    </row>
    <row r="676" ht="15.75" customHeight="1">
      <c r="C676" s="184"/>
      <c r="G676" s="185"/>
    </row>
    <row r="677" ht="15.75" customHeight="1">
      <c r="C677" s="184"/>
      <c r="G677" s="185"/>
    </row>
    <row r="678" ht="15.75" customHeight="1">
      <c r="C678" s="184"/>
      <c r="G678" s="185"/>
    </row>
    <row r="679" ht="15.75" customHeight="1">
      <c r="C679" s="184"/>
      <c r="G679" s="185"/>
    </row>
    <row r="680" ht="15.75" customHeight="1">
      <c r="C680" s="184"/>
      <c r="G680" s="185"/>
    </row>
    <row r="681" ht="15.75" customHeight="1">
      <c r="C681" s="184"/>
      <c r="G681" s="185"/>
    </row>
    <row r="682" ht="15.75" customHeight="1">
      <c r="C682" s="184"/>
      <c r="G682" s="185"/>
    </row>
    <row r="683" ht="15.75" customHeight="1">
      <c r="C683" s="184"/>
      <c r="G683" s="185"/>
    </row>
    <row r="684" ht="15.75" customHeight="1">
      <c r="C684" s="184"/>
      <c r="G684" s="185"/>
    </row>
    <row r="685" ht="15.75" customHeight="1">
      <c r="C685" s="184"/>
      <c r="G685" s="185"/>
    </row>
    <row r="686" ht="15.75" customHeight="1">
      <c r="C686" s="184"/>
      <c r="G686" s="185"/>
    </row>
    <row r="687" ht="15.75" customHeight="1">
      <c r="C687" s="184"/>
      <c r="G687" s="185"/>
    </row>
    <row r="688" ht="15.75" customHeight="1">
      <c r="C688" s="184"/>
      <c r="G688" s="185"/>
    </row>
    <row r="689" ht="15.75" customHeight="1">
      <c r="C689" s="184"/>
      <c r="G689" s="185"/>
    </row>
    <row r="690" ht="15.75" customHeight="1">
      <c r="C690" s="184"/>
      <c r="G690" s="185"/>
    </row>
    <row r="691" ht="15.75" customHeight="1">
      <c r="C691" s="184"/>
      <c r="G691" s="185"/>
    </row>
    <row r="692" ht="15.75" customHeight="1">
      <c r="C692" s="184"/>
      <c r="G692" s="185"/>
    </row>
    <row r="693" ht="15.75" customHeight="1">
      <c r="C693" s="184"/>
      <c r="G693" s="185"/>
    </row>
    <row r="694" ht="15.75" customHeight="1">
      <c r="C694" s="184"/>
      <c r="G694" s="185"/>
    </row>
    <row r="695" ht="15.75" customHeight="1">
      <c r="C695" s="184"/>
      <c r="G695" s="185"/>
    </row>
    <row r="696" ht="15.75" customHeight="1">
      <c r="C696" s="184"/>
      <c r="G696" s="185"/>
    </row>
    <row r="697" ht="15.75" customHeight="1">
      <c r="C697" s="184"/>
      <c r="G697" s="185"/>
    </row>
    <row r="698" ht="15.75" customHeight="1">
      <c r="C698" s="184"/>
      <c r="G698" s="185"/>
    </row>
    <row r="699" ht="15.75" customHeight="1">
      <c r="C699" s="184"/>
      <c r="G699" s="185"/>
    </row>
    <row r="700" ht="15.75" customHeight="1">
      <c r="C700" s="184"/>
      <c r="G700" s="185"/>
    </row>
    <row r="701" ht="15.75" customHeight="1">
      <c r="C701" s="184"/>
      <c r="G701" s="185"/>
    </row>
    <row r="702" ht="15.75" customHeight="1">
      <c r="C702" s="184"/>
      <c r="G702" s="185"/>
    </row>
    <row r="703" ht="15.75" customHeight="1">
      <c r="C703" s="184"/>
      <c r="G703" s="185"/>
    </row>
    <row r="704" ht="15.75" customHeight="1">
      <c r="C704" s="184"/>
      <c r="G704" s="185"/>
    </row>
    <row r="705" ht="15.75" customHeight="1">
      <c r="C705" s="184"/>
      <c r="G705" s="185"/>
    </row>
    <row r="706" ht="15.75" customHeight="1">
      <c r="C706" s="184"/>
      <c r="G706" s="185"/>
    </row>
    <row r="707" ht="15.75" customHeight="1">
      <c r="C707" s="184"/>
      <c r="G707" s="185"/>
    </row>
    <row r="708" ht="15.75" customHeight="1">
      <c r="C708" s="184"/>
      <c r="G708" s="185"/>
    </row>
    <row r="709" ht="15.75" customHeight="1">
      <c r="C709" s="184"/>
      <c r="G709" s="185"/>
    </row>
    <row r="710" ht="15.75" customHeight="1">
      <c r="C710" s="184"/>
      <c r="G710" s="185"/>
    </row>
    <row r="711" ht="15.75" customHeight="1">
      <c r="C711" s="184"/>
      <c r="G711" s="185"/>
    </row>
    <row r="712" ht="15.75" customHeight="1">
      <c r="C712" s="184"/>
      <c r="G712" s="185"/>
    </row>
    <row r="713" ht="15.75" customHeight="1">
      <c r="C713" s="184"/>
      <c r="G713" s="185"/>
    </row>
    <row r="714" ht="15.75" customHeight="1">
      <c r="C714" s="184"/>
      <c r="G714" s="185"/>
    </row>
    <row r="715" ht="15.75" customHeight="1">
      <c r="C715" s="184"/>
      <c r="G715" s="185"/>
    </row>
    <row r="716" ht="15.75" customHeight="1">
      <c r="C716" s="184"/>
      <c r="G716" s="185"/>
    </row>
    <row r="717" ht="15.75" customHeight="1">
      <c r="C717" s="184"/>
      <c r="G717" s="185"/>
    </row>
    <row r="718" ht="15.75" customHeight="1">
      <c r="C718" s="184"/>
      <c r="G718" s="185"/>
    </row>
    <row r="719" ht="15.75" customHeight="1">
      <c r="C719" s="184"/>
      <c r="G719" s="185"/>
    </row>
    <row r="720" ht="15.75" customHeight="1">
      <c r="C720" s="184"/>
      <c r="G720" s="185"/>
    </row>
    <row r="721" ht="15.75" customHeight="1">
      <c r="C721" s="184"/>
      <c r="G721" s="185"/>
    </row>
    <row r="722" ht="15.75" customHeight="1">
      <c r="C722" s="184"/>
      <c r="G722" s="185"/>
    </row>
    <row r="723" ht="15.75" customHeight="1">
      <c r="C723" s="184"/>
      <c r="G723" s="185"/>
    </row>
    <row r="724" ht="15.75" customHeight="1">
      <c r="C724" s="184"/>
      <c r="G724" s="185"/>
    </row>
    <row r="725" ht="15.75" customHeight="1">
      <c r="C725" s="184"/>
      <c r="G725" s="185"/>
    </row>
    <row r="726" ht="15.75" customHeight="1">
      <c r="C726" s="184"/>
      <c r="G726" s="185"/>
    </row>
    <row r="727" ht="15.75" customHeight="1">
      <c r="C727" s="184"/>
      <c r="G727" s="185"/>
    </row>
    <row r="728" ht="15.75" customHeight="1">
      <c r="C728" s="184"/>
      <c r="G728" s="185"/>
    </row>
    <row r="729" ht="15.75" customHeight="1">
      <c r="C729" s="184"/>
      <c r="G729" s="185"/>
    </row>
    <row r="730" ht="15.75" customHeight="1">
      <c r="C730" s="184"/>
      <c r="G730" s="185"/>
    </row>
    <row r="731" ht="15.75" customHeight="1">
      <c r="C731" s="184"/>
      <c r="G731" s="185"/>
    </row>
    <row r="732" ht="15.75" customHeight="1">
      <c r="C732" s="184"/>
      <c r="G732" s="185"/>
    </row>
    <row r="733" ht="15.75" customHeight="1">
      <c r="C733" s="184"/>
      <c r="G733" s="185"/>
    </row>
    <row r="734" ht="15.75" customHeight="1">
      <c r="C734" s="184"/>
      <c r="G734" s="185"/>
    </row>
    <row r="735" ht="15.75" customHeight="1">
      <c r="C735" s="184"/>
      <c r="G735" s="185"/>
    </row>
    <row r="736" ht="15.75" customHeight="1">
      <c r="C736" s="184"/>
      <c r="G736" s="185"/>
    </row>
    <row r="737" ht="15.75" customHeight="1">
      <c r="C737" s="184"/>
      <c r="G737" s="185"/>
    </row>
    <row r="738" ht="15.75" customHeight="1">
      <c r="C738" s="184"/>
      <c r="G738" s="185"/>
    </row>
    <row r="739" ht="15.75" customHeight="1">
      <c r="C739" s="184"/>
      <c r="G739" s="185"/>
    </row>
    <row r="740" ht="15.75" customHeight="1">
      <c r="C740" s="184"/>
      <c r="G740" s="185"/>
    </row>
    <row r="741" ht="15.75" customHeight="1">
      <c r="C741" s="184"/>
      <c r="G741" s="185"/>
    </row>
    <row r="742" ht="15.75" customHeight="1">
      <c r="C742" s="184"/>
      <c r="G742" s="185"/>
    </row>
    <row r="743" ht="15.75" customHeight="1">
      <c r="C743" s="184"/>
      <c r="G743" s="185"/>
    </row>
    <row r="744" ht="15.75" customHeight="1">
      <c r="C744" s="184"/>
      <c r="G744" s="185"/>
    </row>
    <row r="745" ht="15.75" customHeight="1">
      <c r="C745" s="184"/>
      <c r="G745" s="185"/>
    </row>
    <row r="746" ht="15.75" customHeight="1">
      <c r="C746" s="184"/>
      <c r="G746" s="185"/>
    </row>
    <row r="747" ht="15.75" customHeight="1">
      <c r="C747" s="184"/>
      <c r="G747" s="185"/>
    </row>
    <row r="748" ht="15.75" customHeight="1">
      <c r="C748" s="184"/>
      <c r="G748" s="185"/>
    </row>
    <row r="749" ht="15.75" customHeight="1">
      <c r="C749" s="184"/>
      <c r="G749" s="185"/>
    </row>
    <row r="750" ht="15.75" customHeight="1">
      <c r="C750" s="184"/>
      <c r="G750" s="185"/>
    </row>
    <row r="751" ht="15.75" customHeight="1">
      <c r="C751" s="184"/>
      <c r="G751" s="185"/>
    </row>
    <row r="752" ht="15.75" customHeight="1">
      <c r="C752" s="184"/>
      <c r="G752" s="185"/>
    </row>
    <row r="753" ht="15.75" customHeight="1">
      <c r="C753" s="184"/>
      <c r="G753" s="185"/>
    </row>
    <row r="754" ht="15.75" customHeight="1">
      <c r="C754" s="184"/>
      <c r="G754" s="185"/>
    </row>
    <row r="755" ht="15.75" customHeight="1">
      <c r="C755" s="184"/>
      <c r="G755" s="185"/>
    </row>
    <row r="756" ht="15.75" customHeight="1">
      <c r="C756" s="184"/>
      <c r="G756" s="185"/>
    </row>
    <row r="757" ht="15.75" customHeight="1">
      <c r="C757" s="184"/>
      <c r="G757" s="185"/>
    </row>
    <row r="758" ht="15.75" customHeight="1">
      <c r="C758" s="184"/>
      <c r="G758" s="185"/>
    </row>
    <row r="759" ht="15.75" customHeight="1">
      <c r="C759" s="184"/>
      <c r="G759" s="185"/>
    </row>
    <row r="760" ht="15.75" customHeight="1">
      <c r="C760" s="184"/>
      <c r="G760" s="185"/>
    </row>
    <row r="761" ht="15.75" customHeight="1">
      <c r="C761" s="184"/>
      <c r="G761" s="185"/>
    </row>
    <row r="762" ht="15.75" customHeight="1">
      <c r="C762" s="184"/>
      <c r="G762" s="185"/>
    </row>
    <row r="763" ht="15.75" customHeight="1">
      <c r="C763" s="184"/>
      <c r="G763" s="185"/>
    </row>
    <row r="764" ht="15.75" customHeight="1">
      <c r="C764" s="184"/>
      <c r="G764" s="185"/>
    </row>
    <row r="765" ht="15.75" customHeight="1">
      <c r="C765" s="184"/>
      <c r="G765" s="185"/>
    </row>
    <row r="766" ht="15.75" customHeight="1">
      <c r="C766" s="184"/>
      <c r="G766" s="185"/>
    </row>
    <row r="767" ht="15.75" customHeight="1">
      <c r="C767" s="184"/>
      <c r="G767" s="185"/>
    </row>
    <row r="768" ht="15.75" customHeight="1">
      <c r="C768" s="184"/>
      <c r="G768" s="185"/>
    </row>
    <row r="769" ht="15.75" customHeight="1">
      <c r="C769" s="184"/>
      <c r="G769" s="185"/>
    </row>
    <row r="770" ht="15.75" customHeight="1">
      <c r="C770" s="184"/>
      <c r="G770" s="185"/>
    </row>
    <row r="771" ht="15.75" customHeight="1">
      <c r="C771" s="184"/>
      <c r="G771" s="185"/>
    </row>
    <row r="772" ht="15.75" customHeight="1">
      <c r="C772" s="184"/>
      <c r="G772" s="185"/>
    </row>
    <row r="773" ht="15.75" customHeight="1">
      <c r="C773" s="184"/>
      <c r="G773" s="185"/>
    </row>
    <row r="774" ht="15.75" customHeight="1">
      <c r="C774" s="184"/>
      <c r="G774" s="185"/>
    </row>
    <row r="775" ht="15.75" customHeight="1">
      <c r="C775" s="184"/>
      <c r="G775" s="185"/>
    </row>
    <row r="776" ht="15.75" customHeight="1">
      <c r="C776" s="184"/>
      <c r="G776" s="185"/>
    </row>
    <row r="777" ht="15.75" customHeight="1">
      <c r="C777" s="184"/>
      <c r="G777" s="185"/>
    </row>
    <row r="778" ht="15.75" customHeight="1">
      <c r="C778" s="184"/>
      <c r="G778" s="185"/>
    </row>
    <row r="779" ht="15.75" customHeight="1">
      <c r="C779" s="184"/>
      <c r="G779" s="185"/>
    </row>
    <row r="780" ht="15.75" customHeight="1">
      <c r="C780" s="184"/>
      <c r="G780" s="185"/>
    </row>
    <row r="781" ht="15.75" customHeight="1">
      <c r="C781" s="184"/>
      <c r="G781" s="185"/>
    </row>
    <row r="782" ht="15.75" customHeight="1">
      <c r="C782" s="184"/>
      <c r="G782" s="185"/>
    </row>
    <row r="783" ht="15.75" customHeight="1">
      <c r="C783" s="184"/>
      <c r="G783" s="185"/>
    </row>
    <row r="784" ht="15.75" customHeight="1">
      <c r="C784" s="184"/>
      <c r="G784" s="185"/>
    </row>
    <row r="785" ht="15.75" customHeight="1">
      <c r="C785" s="184"/>
      <c r="G785" s="185"/>
    </row>
    <row r="786" ht="15.75" customHeight="1">
      <c r="C786" s="184"/>
      <c r="G786" s="185"/>
    </row>
    <row r="787" ht="15.75" customHeight="1">
      <c r="C787" s="184"/>
      <c r="G787" s="185"/>
    </row>
    <row r="788" ht="15.75" customHeight="1">
      <c r="C788" s="184"/>
      <c r="G788" s="185"/>
    </row>
    <row r="789" ht="15.75" customHeight="1">
      <c r="C789" s="184"/>
      <c r="G789" s="185"/>
    </row>
    <row r="790" ht="15.75" customHeight="1">
      <c r="C790" s="184"/>
      <c r="G790" s="185"/>
    </row>
    <row r="791" ht="15.75" customHeight="1">
      <c r="C791" s="184"/>
      <c r="G791" s="185"/>
    </row>
    <row r="792" ht="15.75" customHeight="1">
      <c r="C792" s="184"/>
      <c r="G792" s="185"/>
    </row>
    <row r="793" ht="15.75" customHeight="1">
      <c r="C793" s="184"/>
      <c r="G793" s="185"/>
    </row>
    <row r="794" ht="15.75" customHeight="1">
      <c r="C794" s="184"/>
      <c r="G794" s="185"/>
    </row>
    <row r="795" ht="15.75" customHeight="1">
      <c r="C795" s="184"/>
      <c r="G795" s="185"/>
    </row>
    <row r="796" ht="15.75" customHeight="1">
      <c r="C796" s="184"/>
      <c r="G796" s="185"/>
    </row>
    <row r="797" ht="15.75" customHeight="1">
      <c r="C797" s="184"/>
      <c r="G797" s="185"/>
    </row>
    <row r="798" ht="15.75" customHeight="1">
      <c r="C798" s="184"/>
      <c r="G798" s="185"/>
    </row>
    <row r="799" ht="15.75" customHeight="1">
      <c r="C799" s="184"/>
      <c r="G799" s="185"/>
    </row>
    <row r="800" ht="15.75" customHeight="1">
      <c r="C800" s="184"/>
      <c r="G800" s="185"/>
    </row>
    <row r="801" ht="15.75" customHeight="1">
      <c r="C801" s="184"/>
      <c r="G801" s="185"/>
    </row>
    <row r="802" ht="15.75" customHeight="1">
      <c r="C802" s="184"/>
      <c r="G802" s="185"/>
    </row>
    <row r="803" ht="15.75" customHeight="1">
      <c r="C803" s="184"/>
      <c r="G803" s="185"/>
    </row>
    <row r="804" ht="15.75" customHeight="1">
      <c r="C804" s="184"/>
      <c r="G804" s="185"/>
    </row>
    <row r="805" ht="15.75" customHeight="1">
      <c r="C805" s="184"/>
      <c r="G805" s="185"/>
    </row>
    <row r="806" ht="15.75" customHeight="1">
      <c r="C806" s="184"/>
      <c r="G806" s="185"/>
    </row>
    <row r="807" ht="15.75" customHeight="1">
      <c r="C807" s="184"/>
      <c r="G807" s="185"/>
    </row>
    <row r="808" ht="15.75" customHeight="1">
      <c r="C808" s="184"/>
      <c r="G808" s="185"/>
    </row>
    <row r="809" ht="15.75" customHeight="1">
      <c r="C809" s="184"/>
      <c r="G809" s="185"/>
    </row>
    <row r="810" ht="15.75" customHeight="1">
      <c r="C810" s="184"/>
      <c r="G810" s="185"/>
    </row>
    <row r="811" ht="15.75" customHeight="1">
      <c r="C811" s="184"/>
      <c r="G811" s="185"/>
    </row>
    <row r="812" ht="15.75" customHeight="1">
      <c r="C812" s="184"/>
      <c r="G812" s="185"/>
    </row>
    <row r="813" ht="15.75" customHeight="1">
      <c r="C813" s="184"/>
      <c r="G813" s="185"/>
    </row>
    <row r="814" ht="15.75" customHeight="1">
      <c r="C814" s="184"/>
      <c r="G814" s="185"/>
    </row>
    <row r="815" ht="15.75" customHeight="1">
      <c r="C815" s="184"/>
      <c r="G815" s="185"/>
    </row>
    <row r="816" ht="15.75" customHeight="1">
      <c r="C816" s="184"/>
      <c r="G816" s="185"/>
    </row>
    <row r="817" ht="15.75" customHeight="1">
      <c r="C817" s="184"/>
      <c r="G817" s="185"/>
    </row>
    <row r="818" ht="15.75" customHeight="1">
      <c r="C818" s="184"/>
      <c r="G818" s="185"/>
    </row>
    <row r="819" ht="15.75" customHeight="1">
      <c r="C819" s="184"/>
      <c r="G819" s="185"/>
    </row>
    <row r="820" ht="15.75" customHeight="1">
      <c r="C820" s="184"/>
      <c r="G820" s="185"/>
    </row>
    <row r="821" ht="15.75" customHeight="1">
      <c r="C821" s="184"/>
      <c r="G821" s="185"/>
    </row>
    <row r="822" ht="15.75" customHeight="1">
      <c r="C822" s="184"/>
      <c r="G822" s="185"/>
    </row>
    <row r="823" ht="15.75" customHeight="1">
      <c r="C823" s="184"/>
      <c r="G823" s="185"/>
    </row>
    <row r="824" ht="15.75" customHeight="1">
      <c r="C824" s="184"/>
      <c r="G824" s="185"/>
    </row>
    <row r="825" ht="15.75" customHeight="1">
      <c r="C825" s="184"/>
      <c r="G825" s="185"/>
    </row>
    <row r="826" ht="15.75" customHeight="1">
      <c r="C826" s="184"/>
      <c r="G826" s="185"/>
    </row>
    <row r="827" ht="15.75" customHeight="1">
      <c r="C827" s="184"/>
      <c r="G827" s="185"/>
    </row>
    <row r="828" ht="15.75" customHeight="1">
      <c r="C828" s="184"/>
      <c r="G828" s="185"/>
    </row>
    <row r="829" ht="15.75" customHeight="1">
      <c r="C829" s="184"/>
      <c r="G829" s="185"/>
    </row>
    <row r="830" ht="15.75" customHeight="1">
      <c r="C830" s="184"/>
      <c r="G830" s="185"/>
    </row>
    <row r="831" ht="15.75" customHeight="1">
      <c r="C831" s="184"/>
      <c r="G831" s="185"/>
    </row>
    <row r="832" ht="15.75" customHeight="1">
      <c r="C832" s="184"/>
      <c r="G832" s="185"/>
    </row>
    <row r="833" ht="15.75" customHeight="1">
      <c r="C833" s="184"/>
      <c r="G833" s="185"/>
    </row>
    <row r="834" ht="15.75" customHeight="1">
      <c r="C834" s="184"/>
      <c r="G834" s="185"/>
    </row>
    <row r="835" ht="15.75" customHeight="1">
      <c r="C835" s="184"/>
      <c r="G835" s="185"/>
    </row>
    <row r="836" ht="15.75" customHeight="1">
      <c r="C836" s="184"/>
      <c r="G836" s="185"/>
    </row>
    <row r="837" ht="15.75" customHeight="1">
      <c r="C837" s="184"/>
      <c r="G837" s="185"/>
    </row>
    <row r="838" ht="15.75" customHeight="1">
      <c r="C838" s="184"/>
      <c r="G838" s="185"/>
    </row>
    <row r="839" ht="15.75" customHeight="1">
      <c r="C839" s="184"/>
      <c r="G839" s="185"/>
    </row>
    <row r="840" ht="15.75" customHeight="1">
      <c r="C840" s="184"/>
      <c r="G840" s="185"/>
    </row>
    <row r="841" ht="15.75" customHeight="1">
      <c r="C841" s="184"/>
      <c r="G841" s="185"/>
    </row>
    <row r="842" ht="15.75" customHeight="1">
      <c r="C842" s="184"/>
      <c r="G842" s="185"/>
    </row>
    <row r="843" ht="15.75" customHeight="1">
      <c r="C843" s="184"/>
      <c r="G843" s="185"/>
    </row>
    <row r="844" ht="15.75" customHeight="1">
      <c r="C844" s="184"/>
      <c r="G844" s="185"/>
    </row>
    <row r="845" ht="15.75" customHeight="1">
      <c r="C845" s="184"/>
      <c r="G845" s="185"/>
    </row>
    <row r="846" ht="15.75" customHeight="1">
      <c r="C846" s="184"/>
      <c r="G846" s="185"/>
    </row>
    <row r="847" ht="15.75" customHeight="1">
      <c r="C847" s="184"/>
      <c r="G847" s="185"/>
    </row>
    <row r="848" ht="15.75" customHeight="1">
      <c r="C848" s="184"/>
      <c r="G848" s="185"/>
    </row>
    <row r="849" ht="15.75" customHeight="1">
      <c r="C849" s="184"/>
      <c r="G849" s="185"/>
    </row>
    <row r="850" ht="15.75" customHeight="1">
      <c r="C850" s="184"/>
      <c r="G850" s="185"/>
    </row>
    <row r="851" ht="15.75" customHeight="1">
      <c r="C851" s="184"/>
      <c r="G851" s="185"/>
    </row>
    <row r="852" ht="15.75" customHeight="1">
      <c r="C852" s="184"/>
      <c r="G852" s="185"/>
    </row>
    <row r="853" ht="15.75" customHeight="1">
      <c r="C853" s="184"/>
      <c r="G853" s="185"/>
    </row>
    <row r="854" ht="15.75" customHeight="1">
      <c r="C854" s="184"/>
      <c r="G854" s="185"/>
    </row>
    <row r="855" ht="15.75" customHeight="1">
      <c r="C855" s="184"/>
      <c r="G855" s="185"/>
    </row>
    <row r="856" ht="15.75" customHeight="1">
      <c r="C856" s="184"/>
      <c r="G856" s="185"/>
    </row>
    <row r="857" ht="15.75" customHeight="1">
      <c r="C857" s="184"/>
      <c r="G857" s="185"/>
    </row>
    <row r="858" ht="15.75" customHeight="1">
      <c r="C858" s="184"/>
      <c r="G858" s="185"/>
    </row>
    <row r="859" ht="15.75" customHeight="1">
      <c r="C859" s="184"/>
      <c r="G859" s="185"/>
    </row>
    <row r="860" ht="15.75" customHeight="1">
      <c r="C860" s="184"/>
      <c r="G860" s="185"/>
    </row>
    <row r="861" ht="15.75" customHeight="1">
      <c r="C861" s="184"/>
      <c r="G861" s="185"/>
    </row>
    <row r="862" ht="15.75" customHeight="1">
      <c r="C862" s="184"/>
      <c r="G862" s="185"/>
    </row>
    <row r="863" ht="15.75" customHeight="1">
      <c r="C863" s="184"/>
      <c r="G863" s="185"/>
    </row>
    <row r="864" ht="15.75" customHeight="1">
      <c r="C864" s="184"/>
      <c r="G864" s="185"/>
    </row>
    <row r="865" ht="15.75" customHeight="1">
      <c r="C865" s="184"/>
      <c r="G865" s="185"/>
    </row>
    <row r="866" ht="15.75" customHeight="1">
      <c r="C866" s="184"/>
      <c r="G866" s="185"/>
    </row>
    <row r="867" ht="15.75" customHeight="1">
      <c r="C867" s="184"/>
      <c r="G867" s="185"/>
    </row>
    <row r="868" ht="15.75" customHeight="1">
      <c r="C868" s="184"/>
      <c r="G868" s="185"/>
    </row>
    <row r="869" ht="15.75" customHeight="1">
      <c r="C869" s="184"/>
      <c r="G869" s="185"/>
    </row>
    <row r="870" ht="15.75" customHeight="1">
      <c r="C870" s="184"/>
      <c r="G870" s="185"/>
    </row>
    <row r="871" ht="15.75" customHeight="1">
      <c r="C871" s="184"/>
      <c r="G871" s="185"/>
    </row>
    <row r="872" ht="15.75" customHeight="1">
      <c r="C872" s="184"/>
      <c r="G872" s="185"/>
    </row>
    <row r="873" ht="15.75" customHeight="1">
      <c r="C873" s="184"/>
      <c r="G873" s="185"/>
    </row>
    <row r="874" ht="15.75" customHeight="1">
      <c r="C874" s="184"/>
      <c r="G874" s="185"/>
    </row>
    <row r="875" ht="15.75" customHeight="1">
      <c r="C875" s="184"/>
      <c r="G875" s="185"/>
    </row>
    <row r="876" ht="15.75" customHeight="1">
      <c r="C876" s="184"/>
      <c r="G876" s="185"/>
    </row>
    <row r="877" ht="15.75" customHeight="1">
      <c r="C877" s="184"/>
      <c r="G877" s="185"/>
    </row>
    <row r="878" ht="15.75" customHeight="1">
      <c r="C878" s="184"/>
      <c r="G878" s="185"/>
    </row>
    <row r="879" ht="15.75" customHeight="1">
      <c r="C879" s="184"/>
      <c r="G879" s="185"/>
    </row>
    <row r="880" ht="15.75" customHeight="1">
      <c r="C880" s="184"/>
      <c r="G880" s="185"/>
    </row>
    <row r="881" ht="15.75" customHeight="1">
      <c r="C881" s="184"/>
      <c r="G881" s="185"/>
    </row>
    <row r="882" ht="15.75" customHeight="1">
      <c r="C882" s="184"/>
      <c r="G882" s="185"/>
    </row>
    <row r="883" ht="15.75" customHeight="1">
      <c r="C883" s="184"/>
      <c r="G883" s="185"/>
    </row>
    <row r="884" ht="15.75" customHeight="1">
      <c r="C884" s="184"/>
      <c r="G884" s="185"/>
    </row>
    <row r="885" ht="15.75" customHeight="1">
      <c r="C885" s="184"/>
      <c r="G885" s="185"/>
    </row>
    <row r="886" ht="15.75" customHeight="1">
      <c r="C886" s="184"/>
      <c r="G886" s="185"/>
    </row>
    <row r="887" ht="15.75" customHeight="1">
      <c r="C887" s="184"/>
      <c r="G887" s="185"/>
    </row>
    <row r="888" ht="15.75" customHeight="1">
      <c r="C888" s="184"/>
      <c r="G888" s="185"/>
    </row>
    <row r="889" ht="15.75" customHeight="1">
      <c r="C889" s="184"/>
      <c r="G889" s="185"/>
    </row>
    <row r="890" ht="15.75" customHeight="1">
      <c r="C890" s="184"/>
      <c r="G890" s="185"/>
    </row>
    <row r="891" ht="15.75" customHeight="1">
      <c r="C891" s="184"/>
      <c r="G891" s="185"/>
    </row>
    <row r="892" ht="15.75" customHeight="1">
      <c r="C892" s="184"/>
      <c r="G892" s="185"/>
    </row>
    <row r="893" ht="15.75" customHeight="1">
      <c r="C893" s="184"/>
      <c r="G893" s="185"/>
    </row>
    <row r="894" ht="15.75" customHeight="1">
      <c r="C894" s="184"/>
      <c r="G894" s="185"/>
    </row>
    <row r="895" ht="15.75" customHeight="1">
      <c r="C895" s="184"/>
      <c r="G895" s="185"/>
    </row>
    <row r="896" ht="15.75" customHeight="1">
      <c r="C896" s="184"/>
      <c r="G896" s="185"/>
    </row>
    <row r="897" ht="15.75" customHeight="1">
      <c r="C897" s="184"/>
      <c r="G897" s="185"/>
    </row>
    <row r="898" ht="15.75" customHeight="1">
      <c r="C898" s="184"/>
      <c r="G898" s="185"/>
    </row>
    <row r="899" ht="15.75" customHeight="1">
      <c r="C899" s="184"/>
      <c r="G899" s="185"/>
    </row>
    <row r="900" ht="15.75" customHeight="1">
      <c r="C900" s="184"/>
      <c r="G900" s="185"/>
    </row>
    <row r="901" ht="15.75" customHeight="1">
      <c r="C901" s="184"/>
      <c r="G901" s="185"/>
    </row>
    <row r="902" ht="15.75" customHeight="1">
      <c r="C902" s="184"/>
      <c r="G902" s="185"/>
    </row>
    <row r="903" ht="15.75" customHeight="1">
      <c r="C903" s="184"/>
      <c r="G903" s="185"/>
    </row>
    <row r="904" ht="15.75" customHeight="1">
      <c r="C904" s="184"/>
      <c r="G904" s="185"/>
    </row>
    <row r="905" ht="15.75" customHeight="1">
      <c r="C905" s="184"/>
      <c r="G905" s="185"/>
    </row>
    <row r="906" ht="15.75" customHeight="1">
      <c r="C906" s="184"/>
      <c r="G906" s="185"/>
    </row>
    <row r="907" ht="15.75" customHeight="1">
      <c r="C907" s="184"/>
      <c r="G907" s="185"/>
    </row>
    <row r="908" ht="15.75" customHeight="1">
      <c r="C908" s="184"/>
      <c r="G908" s="185"/>
    </row>
    <row r="909" ht="15.75" customHeight="1">
      <c r="C909" s="184"/>
      <c r="G909" s="185"/>
    </row>
    <row r="910" ht="15.75" customHeight="1">
      <c r="C910" s="184"/>
      <c r="G910" s="185"/>
    </row>
    <row r="911" ht="15.75" customHeight="1">
      <c r="C911" s="184"/>
      <c r="G911" s="185"/>
    </row>
    <row r="912" ht="15.75" customHeight="1">
      <c r="C912" s="184"/>
      <c r="G912" s="185"/>
    </row>
    <row r="913" ht="15.75" customHeight="1">
      <c r="C913" s="184"/>
      <c r="G913" s="185"/>
    </row>
    <row r="914" ht="15.75" customHeight="1">
      <c r="C914" s="184"/>
      <c r="G914" s="185"/>
    </row>
    <row r="915" ht="15.75" customHeight="1">
      <c r="C915" s="184"/>
      <c r="G915" s="185"/>
    </row>
    <row r="916" ht="15.75" customHeight="1">
      <c r="C916" s="184"/>
      <c r="G916" s="185"/>
    </row>
    <row r="917" ht="15.75" customHeight="1">
      <c r="C917" s="184"/>
      <c r="G917" s="185"/>
    </row>
    <row r="918" ht="15.75" customHeight="1">
      <c r="C918" s="184"/>
      <c r="G918" s="185"/>
    </row>
    <row r="919" ht="15.75" customHeight="1">
      <c r="C919" s="184"/>
      <c r="G919" s="185"/>
    </row>
    <row r="920" ht="15.75" customHeight="1">
      <c r="C920" s="184"/>
      <c r="G920" s="185"/>
    </row>
    <row r="921" ht="15.75" customHeight="1">
      <c r="C921" s="184"/>
      <c r="G921" s="185"/>
    </row>
    <row r="922" ht="15.75" customHeight="1">
      <c r="C922" s="184"/>
      <c r="G922" s="185"/>
    </row>
    <row r="923" ht="15.75" customHeight="1">
      <c r="C923" s="184"/>
      <c r="G923" s="185"/>
    </row>
    <row r="924" ht="15.75" customHeight="1">
      <c r="C924" s="184"/>
      <c r="G924" s="185"/>
    </row>
    <row r="925" ht="15.75" customHeight="1">
      <c r="C925" s="184"/>
      <c r="G925" s="185"/>
    </row>
    <row r="926" ht="15.75" customHeight="1">
      <c r="C926" s="184"/>
      <c r="G926" s="185"/>
    </row>
    <row r="927" ht="15.75" customHeight="1">
      <c r="C927" s="184"/>
      <c r="G927" s="185"/>
    </row>
    <row r="928" ht="15.75" customHeight="1">
      <c r="C928" s="184"/>
      <c r="G928" s="185"/>
    </row>
    <row r="929" ht="15.75" customHeight="1">
      <c r="C929" s="184"/>
      <c r="G929" s="185"/>
    </row>
    <row r="930" ht="15.75" customHeight="1">
      <c r="C930" s="184"/>
      <c r="G930" s="185"/>
    </row>
    <row r="931" ht="15.75" customHeight="1">
      <c r="C931" s="184"/>
      <c r="G931" s="185"/>
    </row>
    <row r="932" ht="15.75" customHeight="1">
      <c r="C932" s="184"/>
      <c r="G932" s="185"/>
    </row>
    <row r="933" ht="15.75" customHeight="1">
      <c r="C933" s="184"/>
      <c r="G933" s="185"/>
    </row>
    <row r="934" ht="15.75" customHeight="1">
      <c r="C934" s="184"/>
      <c r="G934" s="185"/>
    </row>
    <row r="935" ht="15.75" customHeight="1">
      <c r="C935" s="184"/>
      <c r="G935" s="185"/>
    </row>
    <row r="936" ht="15.75" customHeight="1">
      <c r="C936" s="184"/>
      <c r="G936" s="185"/>
    </row>
    <row r="937" ht="15.75" customHeight="1">
      <c r="C937" s="184"/>
      <c r="G937" s="185"/>
    </row>
    <row r="938" ht="15.75" customHeight="1">
      <c r="C938" s="184"/>
      <c r="G938" s="185"/>
    </row>
    <row r="939" ht="15.75" customHeight="1">
      <c r="C939" s="184"/>
      <c r="G939" s="185"/>
    </row>
    <row r="940" ht="15.75" customHeight="1">
      <c r="C940" s="184"/>
      <c r="G940" s="185"/>
    </row>
    <row r="941" ht="15.75" customHeight="1">
      <c r="C941" s="184"/>
      <c r="G941" s="185"/>
    </row>
    <row r="942" ht="15.75" customHeight="1">
      <c r="C942" s="184"/>
      <c r="G942" s="185"/>
    </row>
    <row r="943" ht="15.75" customHeight="1">
      <c r="C943" s="184"/>
      <c r="G943" s="185"/>
    </row>
    <row r="944" ht="15.75" customHeight="1">
      <c r="C944" s="184"/>
      <c r="G944" s="185"/>
    </row>
    <row r="945" ht="15.75" customHeight="1">
      <c r="C945" s="184"/>
      <c r="G945" s="185"/>
    </row>
    <row r="946" ht="15.75" customHeight="1">
      <c r="C946" s="184"/>
      <c r="G946" s="185"/>
    </row>
    <row r="947" ht="15.75" customHeight="1">
      <c r="C947" s="184"/>
      <c r="G947" s="185"/>
    </row>
    <row r="948" ht="15.75" customHeight="1">
      <c r="C948" s="184"/>
      <c r="G948" s="185"/>
    </row>
    <row r="949" ht="15.75" customHeight="1">
      <c r="C949" s="184"/>
      <c r="G949" s="185"/>
    </row>
    <row r="950" ht="15.75" customHeight="1">
      <c r="C950" s="184"/>
      <c r="G950" s="185"/>
    </row>
    <row r="951" ht="15.75" customHeight="1">
      <c r="C951" s="184"/>
      <c r="G951" s="185"/>
    </row>
    <row r="952" ht="15.75" customHeight="1">
      <c r="C952" s="184"/>
      <c r="G952" s="185"/>
    </row>
    <row r="953" ht="15.75" customHeight="1">
      <c r="C953" s="184"/>
      <c r="G953" s="185"/>
    </row>
    <row r="954" ht="15.75" customHeight="1">
      <c r="C954" s="184"/>
      <c r="G954" s="185"/>
    </row>
    <row r="955" ht="15.75" customHeight="1">
      <c r="C955" s="184"/>
      <c r="G955" s="185"/>
    </row>
    <row r="956" ht="15.75" customHeight="1">
      <c r="C956" s="184"/>
      <c r="G956" s="185"/>
    </row>
    <row r="957" ht="15.75" customHeight="1">
      <c r="C957" s="184"/>
      <c r="G957" s="185"/>
    </row>
    <row r="958" ht="15.75" customHeight="1">
      <c r="C958" s="184"/>
      <c r="G958" s="185"/>
    </row>
    <row r="959" ht="15.75" customHeight="1">
      <c r="C959" s="184"/>
      <c r="G959" s="185"/>
    </row>
    <row r="960" ht="15.75" customHeight="1">
      <c r="C960" s="184"/>
      <c r="G960" s="185"/>
    </row>
    <row r="961" ht="15.75" customHeight="1">
      <c r="C961" s="184"/>
      <c r="G961" s="185"/>
    </row>
    <row r="962" ht="15.75" customHeight="1">
      <c r="C962" s="184"/>
      <c r="G962" s="185"/>
    </row>
    <row r="963" ht="15.75" customHeight="1">
      <c r="C963" s="184"/>
      <c r="G963" s="185"/>
    </row>
    <row r="964" ht="15.75" customHeight="1">
      <c r="C964" s="184"/>
      <c r="G964" s="185"/>
    </row>
    <row r="965" ht="15.75" customHeight="1">
      <c r="C965" s="184"/>
      <c r="G965" s="185"/>
    </row>
    <row r="966" ht="15.75" customHeight="1">
      <c r="C966" s="184"/>
      <c r="G966" s="185"/>
    </row>
    <row r="967" ht="15.75" customHeight="1">
      <c r="C967" s="184"/>
      <c r="G967" s="185"/>
    </row>
    <row r="968" ht="15.75" customHeight="1">
      <c r="C968" s="184"/>
      <c r="G968" s="185"/>
    </row>
    <row r="969" ht="15.75" customHeight="1">
      <c r="C969" s="184"/>
      <c r="G969" s="185"/>
    </row>
    <row r="970" ht="15.75" customHeight="1">
      <c r="C970" s="184"/>
      <c r="G970" s="185"/>
    </row>
    <row r="971" ht="15.75" customHeight="1">
      <c r="C971" s="184"/>
      <c r="G971" s="185"/>
    </row>
    <row r="972" ht="15.75" customHeight="1">
      <c r="C972" s="184"/>
      <c r="G972" s="185"/>
    </row>
    <row r="973" ht="15.75" customHeight="1">
      <c r="C973" s="184"/>
      <c r="G973" s="185"/>
    </row>
    <row r="974" ht="15.75" customHeight="1">
      <c r="C974" s="184"/>
      <c r="G974" s="185"/>
    </row>
    <row r="975" ht="15.75" customHeight="1">
      <c r="C975" s="184"/>
      <c r="G975" s="185"/>
    </row>
    <row r="976" ht="15.75" customHeight="1">
      <c r="C976" s="184"/>
      <c r="G976" s="185"/>
    </row>
    <row r="977" ht="15.75" customHeight="1">
      <c r="C977" s="184"/>
      <c r="G977" s="185"/>
    </row>
    <row r="978" ht="15.75" customHeight="1">
      <c r="C978" s="184"/>
      <c r="G978" s="185"/>
    </row>
    <row r="979" ht="15.75" customHeight="1">
      <c r="C979" s="184"/>
      <c r="G979" s="185"/>
    </row>
    <row r="980" ht="15.75" customHeight="1">
      <c r="C980" s="184"/>
      <c r="G980" s="185"/>
    </row>
    <row r="981" ht="15.75" customHeight="1">
      <c r="C981" s="184"/>
      <c r="G981" s="185"/>
    </row>
    <row r="982" ht="15.75" customHeight="1">
      <c r="C982" s="184"/>
      <c r="G982" s="185"/>
    </row>
    <row r="983" ht="15.75" customHeight="1">
      <c r="C983" s="184"/>
      <c r="G983" s="185"/>
    </row>
    <row r="984" ht="15.75" customHeight="1">
      <c r="C984" s="184"/>
      <c r="G984" s="185"/>
    </row>
    <row r="985" ht="15.75" customHeight="1">
      <c r="C985" s="184"/>
      <c r="G985" s="185"/>
    </row>
    <row r="986" ht="15.75" customHeight="1">
      <c r="C986" s="184"/>
      <c r="G986" s="185"/>
    </row>
    <row r="987" ht="15.75" customHeight="1">
      <c r="C987" s="184"/>
      <c r="G987" s="185"/>
    </row>
    <row r="988" ht="15.75" customHeight="1">
      <c r="C988" s="184"/>
      <c r="G988" s="185"/>
    </row>
    <row r="989" ht="15.75" customHeight="1">
      <c r="C989" s="184"/>
      <c r="G989" s="185"/>
    </row>
    <row r="990" ht="15.75" customHeight="1">
      <c r="C990" s="184"/>
      <c r="G990" s="185"/>
    </row>
    <row r="991" ht="15.75" customHeight="1">
      <c r="C991" s="184"/>
      <c r="G991" s="185"/>
    </row>
    <row r="992" ht="15.75" customHeight="1">
      <c r="C992" s="184"/>
      <c r="G992" s="185"/>
    </row>
    <row r="993" ht="15.75" customHeight="1">
      <c r="C993" s="184"/>
      <c r="G993" s="185"/>
    </row>
    <row r="994" ht="15.75" customHeight="1">
      <c r="C994" s="184"/>
      <c r="G994" s="185"/>
    </row>
    <row r="995" ht="15.75" customHeight="1">
      <c r="C995" s="184"/>
      <c r="G995" s="185"/>
    </row>
    <row r="996" ht="15.75" customHeight="1">
      <c r="C996" s="184"/>
      <c r="G996" s="185"/>
    </row>
    <row r="997" ht="15.75" customHeight="1">
      <c r="C997" s="184"/>
      <c r="G997" s="185"/>
    </row>
    <row r="998" ht="15.75" customHeight="1">
      <c r="C998" s="184"/>
      <c r="G998" s="185"/>
    </row>
    <row r="999" ht="15.75" customHeight="1">
      <c r="C999" s="184"/>
      <c r="G999" s="185"/>
    </row>
    <row r="1000" ht="15.75" customHeight="1">
      <c r="C1000" s="184"/>
      <c r="G1000" s="185"/>
    </row>
  </sheetData>
  <mergeCells count="76">
    <mergeCell ref="B131:B136"/>
    <mergeCell ref="B137:B142"/>
    <mergeCell ref="B143:K143"/>
    <mergeCell ref="B144:B150"/>
    <mergeCell ref="B151:B155"/>
    <mergeCell ref="B156:K156"/>
    <mergeCell ref="B158:B164"/>
    <mergeCell ref="B165:B170"/>
    <mergeCell ref="B171:K171"/>
    <mergeCell ref="B172:B178"/>
    <mergeCell ref="B179:B184"/>
    <mergeCell ref="B185:K185"/>
    <mergeCell ref="B187:B193"/>
    <mergeCell ref="B200:K200"/>
    <mergeCell ref="B194:B199"/>
    <mergeCell ref="B201:B207"/>
    <mergeCell ref="B208:B213"/>
    <mergeCell ref="B216:B222"/>
    <mergeCell ref="B223:B228"/>
    <mergeCell ref="B230:B236"/>
    <mergeCell ref="B237:B242"/>
    <mergeCell ref="B214:K214"/>
    <mergeCell ref="B229:K229"/>
    <mergeCell ref="B243:K243"/>
    <mergeCell ref="B244:K244"/>
    <mergeCell ref="B250:K250"/>
    <mergeCell ref="B255:K255"/>
    <mergeCell ref="B260:K260"/>
    <mergeCell ref="B284:K284"/>
    <mergeCell ref="B288:K288"/>
    <mergeCell ref="B262:K262"/>
    <mergeCell ref="B263:K263"/>
    <mergeCell ref="B265:K265"/>
    <mergeCell ref="B270:K270"/>
    <mergeCell ref="B274:K274"/>
    <mergeCell ref="B278:K278"/>
    <mergeCell ref="B279:K279"/>
    <mergeCell ref="B285:B287"/>
    <mergeCell ref="B289:B291"/>
    <mergeCell ref="B246:B249"/>
    <mergeCell ref="B251:B254"/>
    <mergeCell ref="B256:B259"/>
    <mergeCell ref="B267:B269"/>
    <mergeCell ref="B271:B273"/>
    <mergeCell ref="B275:B277"/>
    <mergeCell ref="B281:B283"/>
    <mergeCell ref="B41:K41"/>
    <mergeCell ref="B56:K56"/>
    <mergeCell ref="B70:K70"/>
    <mergeCell ref="B1:K1"/>
    <mergeCell ref="D3:H3"/>
    <mergeCell ref="D4:H4"/>
    <mergeCell ref="C7:D8"/>
    <mergeCell ref="B10:K10"/>
    <mergeCell ref="B14:B20"/>
    <mergeCell ref="B27:K27"/>
    <mergeCell ref="B72:B78"/>
    <mergeCell ref="B79:B84"/>
    <mergeCell ref="B85:K85"/>
    <mergeCell ref="B86:B92"/>
    <mergeCell ref="B93:B98"/>
    <mergeCell ref="B99:K99"/>
    <mergeCell ref="B101:B107"/>
    <mergeCell ref="B108:B113"/>
    <mergeCell ref="B114:K114"/>
    <mergeCell ref="B115:B121"/>
    <mergeCell ref="B122:B127"/>
    <mergeCell ref="B128:K128"/>
    <mergeCell ref="B129:K129"/>
    <mergeCell ref="B21:B26"/>
    <mergeCell ref="B28:B34"/>
    <mergeCell ref="B35:B40"/>
    <mergeCell ref="B43:B49"/>
    <mergeCell ref="B50:B55"/>
    <mergeCell ref="B57:B63"/>
    <mergeCell ref="B64:B69"/>
  </mergeCells>
  <conditionalFormatting sqref="C15:K26">
    <cfRule type="expression" dxfId="0" priority="1">
      <formula>MOD(ROW(),2)=1</formula>
    </cfRule>
  </conditionalFormatting>
  <conditionalFormatting sqref="C15:K26">
    <cfRule type="expression" dxfId="1" priority="2">
      <formula>MOD(ROW(),2)=0</formula>
    </cfRule>
  </conditionalFormatting>
  <conditionalFormatting sqref="C29:K35 C37:K40">
    <cfRule type="expression" dxfId="0" priority="3">
      <formula>MOD(ROW(),2)=1</formula>
    </cfRule>
  </conditionalFormatting>
  <conditionalFormatting sqref="C29:K35 C37:K40">
    <cfRule type="expression" dxfId="1" priority="4">
      <formula>MOD(ROW(),2)=0</formula>
    </cfRule>
  </conditionalFormatting>
  <conditionalFormatting sqref="C44:K55">
    <cfRule type="expression" dxfId="0" priority="5">
      <formula>MOD(ROW(),2)=0</formula>
    </cfRule>
  </conditionalFormatting>
  <conditionalFormatting sqref="C44:K55">
    <cfRule type="expression" dxfId="1" priority="6">
      <formula>MOD(ROW(),2)=1</formula>
    </cfRule>
  </conditionalFormatting>
  <conditionalFormatting sqref="C58:K64 C66:K69">
    <cfRule type="expression" dxfId="0" priority="7">
      <formula>MOD(ROW(),2)=0</formula>
    </cfRule>
  </conditionalFormatting>
  <conditionalFormatting sqref="C58:K64 C66:K69">
    <cfRule type="expression" dxfId="1" priority="8">
      <formula>MOD(ROW(),2)=1</formula>
    </cfRule>
  </conditionalFormatting>
  <conditionalFormatting sqref="C73:K84">
    <cfRule type="expression" dxfId="0" priority="9">
      <formula>MOD(ROW(),2)=1</formula>
    </cfRule>
  </conditionalFormatting>
  <conditionalFormatting sqref="C73:K84">
    <cfRule type="expression" dxfId="1" priority="10">
      <formula>MOD(ROW(),2)=0</formula>
    </cfRule>
  </conditionalFormatting>
  <conditionalFormatting sqref="C87:K93 C95:K98">
    <cfRule type="expression" dxfId="0" priority="11">
      <formula>MOD(ROW(),2)=1</formula>
    </cfRule>
  </conditionalFormatting>
  <conditionalFormatting sqref="C87:K93 C95:K98">
    <cfRule type="expression" dxfId="1" priority="12">
      <formula>MOD(ROW(),2)=0</formula>
    </cfRule>
  </conditionalFormatting>
  <conditionalFormatting sqref="C102:K113">
    <cfRule type="expression" dxfId="0" priority="13">
      <formula>MOD(ROW(),2)=0</formula>
    </cfRule>
  </conditionalFormatting>
  <conditionalFormatting sqref="C102:K113">
    <cfRule type="expression" dxfId="1" priority="14">
      <formula>MOD(ROW(),2)=1</formula>
    </cfRule>
  </conditionalFormatting>
  <conditionalFormatting sqref="C115:K127">
    <cfRule type="expression" dxfId="0" priority="15">
      <formula>MOD(ROW(),2)=0</formula>
    </cfRule>
  </conditionalFormatting>
  <conditionalFormatting sqref="C144:K155">
    <cfRule type="expression" dxfId="0" priority="16">
      <formula>MOD(ROW(),2)=1</formula>
    </cfRule>
  </conditionalFormatting>
  <conditionalFormatting sqref="C159:K170">
    <cfRule type="expression" dxfId="0" priority="17">
      <formula>MOD(ROW(),2)=1</formula>
    </cfRule>
  </conditionalFormatting>
  <conditionalFormatting sqref="C172:K184">
    <cfRule type="expression" dxfId="0" priority="18">
      <formula>MOD(ROW(),2)=1</formula>
    </cfRule>
  </conditionalFormatting>
  <conditionalFormatting sqref="C187:K199">
    <cfRule type="expression" dxfId="0" priority="19">
      <formula>MOD(ROW(),2)=0</formula>
    </cfRule>
  </conditionalFormatting>
  <conditionalFormatting sqref="C201:K213">
    <cfRule type="expression" dxfId="0" priority="20">
      <formula>MOD(ROW(),2)=0</formula>
    </cfRule>
  </conditionalFormatting>
  <conditionalFormatting sqref="C216:K228">
    <cfRule type="expression" dxfId="0" priority="21">
      <formula>MOD(ROW(),2)=1</formula>
    </cfRule>
  </conditionalFormatting>
  <conditionalFormatting sqref="C230:K242">
    <cfRule type="expression" dxfId="0" priority="22">
      <formula>MOD(ROW(),2)=1</formula>
    </cfRule>
  </conditionalFormatting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